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showInkAnnotation="0"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dreas/OneDrive/Dokumente/Politik/Ortsvorsteher/OV 2019/Themen/Wald/"/>
    </mc:Choice>
  </mc:AlternateContent>
  <xr:revisionPtr revIDLastSave="27" documentId="114_{E2476F87-6986-B143-8ED5-962F9A03547E}" xr6:coauthVersionLast="44" xr6:coauthVersionMax="44" xr10:uidLastSave="{94C28B89-42C7-1745-8E8C-32A690EACF94}"/>
  <bookViews>
    <workbookView xWindow="0" yWindow="0" windowWidth="15480" windowHeight="15360" activeTab="1" xr2:uid="{00000000-000D-0000-FFFF-FFFF00000000}"/>
  </bookViews>
  <sheets>
    <sheet name="Holzliste" sheetId="1" r:id="rId1"/>
    <sheet name="Sägeliste" sheetId="2" r:id="rId2"/>
    <sheet name="Gutschrift" sheetId="7" r:id="rId3"/>
    <sheet name="Abrechnung" sheetId="8" r:id="rId4"/>
    <sheet name="Rindenabzug" sheetId="5" r:id="rId5"/>
  </sheets>
  <functionGroups builtInGroupCount="19"/>
  <definedNames>
    <definedName name="Buche">Rindenabzug!$C$13:$F$14</definedName>
    <definedName name="Douglasie">Rindenabzug!$C$8:$F$12</definedName>
    <definedName name="Eiche">Rindenabzug!$C$23:$F$27</definedName>
    <definedName name="Fichte">Rindenabzug!$C$1:$F$3</definedName>
    <definedName name="Holzarten">Rindenabzug!$A$1:$A$8</definedName>
    <definedName name="Kiefer">Rindenabzug!$C$19:$F$22</definedName>
    <definedName name="Lärche">Rindenabzug!$C$28:$F$32</definedName>
    <definedName name="Tanne">Rindenabzug!$C$4:$F$7</definedName>
  </definedNames>
  <calcPr calcId="191028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2" i="7"/>
  <c r="N8" i="7" l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M18" i="1" l="1"/>
  <c r="O18" i="1"/>
  <c r="N18" i="1"/>
  <c r="O40" i="1"/>
  <c r="M40" i="1"/>
  <c r="N40" i="1"/>
  <c r="O32" i="1"/>
  <c r="M32" i="1"/>
  <c r="N32" i="1"/>
  <c r="N51" i="1"/>
  <c r="M51" i="1"/>
  <c r="O51" i="1"/>
  <c r="N43" i="1"/>
  <c r="O43" i="1"/>
  <c r="M43" i="1"/>
  <c r="N35" i="1"/>
  <c r="M35" i="1"/>
  <c r="O35" i="1"/>
  <c r="M50" i="1"/>
  <c r="O50" i="1"/>
  <c r="N50" i="1"/>
  <c r="M46" i="1"/>
  <c r="O46" i="1"/>
  <c r="N46" i="1"/>
  <c r="M42" i="1"/>
  <c r="O42" i="1"/>
  <c r="N42" i="1"/>
  <c r="M38" i="1"/>
  <c r="O38" i="1"/>
  <c r="N38" i="1"/>
  <c r="M34" i="1"/>
  <c r="O34" i="1"/>
  <c r="N34" i="1"/>
  <c r="M30" i="1"/>
  <c r="O30" i="1"/>
  <c r="N30" i="1"/>
  <c r="M26" i="1"/>
  <c r="O26" i="1"/>
  <c r="N26" i="1"/>
  <c r="M22" i="1"/>
  <c r="O22" i="1"/>
  <c r="N22" i="1"/>
  <c r="N49" i="1"/>
  <c r="O49" i="1"/>
  <c r="M49" i="1"/>
  <c r="N45" i="1"/>
  <c r="O45" i="1"/>
  <c r="M45" i="1"/>
  <c r="N41" i="1"/>
  <c r="O41" i="1"/>
  <c r="M41" i="1"/>
  <c r="N37" i="1"/>
  <c r="O37" i="1"/>
  <c r="M37" i="1"/>
  <c r="N33" i="1"/>
  <c r="O33" i="1"/>
  <c r="M33" i="1"/>
  <c r="N29" i="1"/>
  <c r="O29" i="1"/>
  <c r="M29" i="1"/>
  <c r="N25" i="1"/>
  <c r="O25" i="1"/>
  <c r="M25" i="1"/>
  <c r="N21" i="1"/>
  <c r="O21" i="1"/>
  <c r="M21" i="1"/>
  <c r="N17" i="1"/>
  <c r="O17" i="1"/>
  <c r="M17" i="1"/>
  <c r="O44" i="1"/>
  <c r="M44" i="1"/>
  <c r="N44" i="1"/>
  <c r="O24" i="1"/>
  <c r="M24" i="1"/>
  <c r="N24" i="1"/>
  <c r="O20" i="1"/>
  <c r="M20" i="1"/>
  <c r="N20" i="1"/>
  <c r="O16" i="1"/>
  <c r="M16" i="1"/>
  <c r="N16" i="1"/>
  <c r="O48" i="1"/>
  <c r="M48" i="1"/>
  <c r="N48" i="1"/>
  <c r="O36" i="1"/>
  <c r="M36" i="1"/>
  <c r="N36" i="1"/>
  <c r="O28" i="1"/>
  <c r="M28" i="1"/>
  <c r="N28" i="1"/>
  <c r="N47" i="1"/>
  <c r="M47" i="1"/>
  <c r="O47" i="1"/>
  <c r="N39" i="1"/>
  <c r="O39" i="1"/>
  <c r="M39" i="1"/>
  <c r="N31" i="1"/>
  <c r="O31" i="1"/>
  <c r="M31" i="1"/>
  <c r="N27" i="1"/>
  <c r="O27" i="1"/>
  <c r="M27" i="1"/>
  <c r="N23" i="1"/>
  <c r="O23" i="1"/>
  <c r="M23" i="1"/>
  <c r="N19" i="1"/>
  <c r="M19" i="1"/>
  <c r="O19" i="1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2" i="7"/>
  <c r="N3" i="7"/>
  <c r="N5" i="7"/>
  <c r="N4" i="7"/>
  <c r="P16" i="1"/>
  <c r="P19" i="1"/>
  <c r="P20" i="1"/>
  <c r="P23" i="1"/>
  <c r="P24" i="1"/>
  <c r="P27" i="1"/>
  <c r="P28" i="1"/>
  <c r="P31" i="1"/>
  <c r="P32" i="1"/>
  <c r="P35" i="1"/>
  <c r="P36" i="1"/>
  <c r="P39" i="1"/>
  <c r="P40" i="1"/>
  <c r="P43" i="1"/>
  <c r="P44" i="1"/>
  <c r="P47" i="1"/>
  <c r="P48" i="1"/>
  <c r="P51" i="1"/>
  <c r="P50" i="1" l="1"/>
  <c r="P46" i="1"/>
  <c r="P42" i="1"/>
  <c r="P38" i="1"/>
  <c r="P34" i="1"/>
  <c r="P30" i="1"/>
  <c r="P26" i="1"/>
  <c r="P22" i="1"/>
  <c r="P18" i="1"/>
  <c r="P49" i="1"/>
  <c r="P45" i="1"/>
  <c r="P41" i="1"/>
  <c r="P37" i="1"/>
  <c r="P33" i="1"/>
  <c r="P29" i="1"/>
  <c r="P25" i="1"/>
  <c r="P21" i="1"/>
  <c r="P17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H3" i="7" l="1"/>
  <c r="H4" i="7"/>
  <c r="H5" i="7"/>
  <c r="H6" i="7"/>
  <c r="H7" i="7"/>
  <c r="H8" i="7"/>
  <c r="H9" i="7"/>
  <c r="H10" i="7"/>
  <c r="H2" i="7"/>
  <c r="N2" i="7" l="1"/>
  <c r="N7" i="7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2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2" i="1"/>
  <c r="H12" i="1"/>
  <c r="H2" i="1"/>
  <c r="H3" i="1" s="1"/>
  <c r="N3" i="1" l="1"/>
  <c r="M3" i="1"/>
  <c r="N2" i="1"/>
  <c r="M2" i="1"/>
  <c r="M12" i="1"/>
  <c r="N12" i="1"/>
  <c r="L2" i="1"/>
  <c r="I2" i="1"/>
  <c r="O2" i="1" s="1"/>
  <c r="J2" i="1"/>
  <c r="K2" i="1"/>
  <c r="L12" i="1"/>
  <c r="K12" i="1"/>
  <c r="J12" i="1"/>
  <c r="I12" i="1"/>
  <c r="O12" i="1" s="1"/>
  <c r="K3" i="1"/>
  <c r="J3" i="1"/>
  <c r="I3" i="1"/>
  <c r="O3" i="1" s="1"/>
  <c r="L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3" i="1"/>
  <c r="G2" i="1"/>
  <c r="H4" i="1"/>
  <c r="M4" i="1" l="1"/>
  <c r="N4" i="1"/>
  <c r="J4" i="1"/>
  <c r="I4" i="1"/>
  <c r="O4" i="1" s="1"/>
  <c r="P4" i="1" s="1"/>
  <c r="L4" i="1"/>
  <c r="K4" i="1"/>
  <c r="P2" i="1"/>
  <c r="P3" i="1"/>
  <c r="P12" i="1"/>
  <c r="H5" i="1"/>
  <c r="N5" i="1" l="1"/>
  <c r="M5" i="1"/>
  <c r="K5" i="1"/>
  <c r="J5" i="1"/>
  <c r="I5" i="1"/>
  <c r="L5" i="1"/>
  <c r="H6" i="1"/>
  <c r="O5" i="1" l="1"/>
  <c r="P5" i="1" s="1"/>
  <c r="M6" i="1"/>
  <c r="N6" i="1"/>
  <c r="L6" i="1"/>
  <c r="K6" i="1"/>
  <c r="J6" i="1"/>
  <c r="I6" i="1"/>
  <c r="O6" i="1" s="1"/>
  <c r="P6" i="1" s="1"/>
  <c r="H7" i="1"/>
  <c r="N7" i="1" l="1"/>
  <c r="M7" i="1"/>
  <c r="I7" i="1"/>
  <c r="L7" i="1"/>
  <c r="K7" i="1"/>
  <c r="J7" i="1"/>
  <c r="H8" i="1"/>
  <c r="O7" i="1" l="1"/>
  <c r="P7" i="1" s="1"/>
  <c r="M8" i="1"/>
  <c r="N8" i="1"/>
  <c r="J8" i="1"/>
  <c r="I8" i="1"/>
  <c r="O8" i="1" s="1"/>
  <c r="P8" i="1" s="1"/>
  <c r="L8" i="1"/>
  <c r="K8" i="1"/>
  <c r="H9" i="1"/>
  <c r="N9" i="1" l="1"/>
  <c r="M9" i="1"/>
  <c r="K9" i="1"/>
  <c r="J9" i="1"/>
  <c r="I9" i="1"/>
  <c r="O9" i="1" s="1"/>
  <c r="P9" i="1" s="1"/>
  <c r="L9" i="1"/>
  <c r="H10" i="1"/>
  <c r="H11" i="1" s="1"/>
  <c r="N11" i="1" l="1"/>
  <c r="M11" i="1"/>
  <c r="I11" i="1"/>
  <c r="O11" i="1" s="1"/>
  <c r="P11" i="1" s="1"/>
  <c r="L11" i="1"/>
  <c r="K11" i="1"/>
  <c r="J11" i="1"/>
  <c r="M10" i="1"/>
  <c r="N10" i="1"/>
  <c r="L10" i="1"/>
  <c r="K10" i="1"/>
  <c r="J10" i="1"/>
  <c r="I10" i="1"/>
  <c r="O10" i="1" s="1"/>
  <c r="P10" i="1" s="1"/>
  <c r="H13" i="1"/>
  <c r="H14" i="1"/>
  <c r="H15" i="1"/>
  <c r="N15" i="1" l="1"/>
  <c r="M15" i="1"/>
  <c r="J15" i="1"/>
  <c r="I15" i="1"/>
  <c r="O15" i="1" s="1"/>
  <c r="P15" i="1" s="1"/>
  <c r="K15" i="1"/>
  <c r="L15" i="1"/>
  <c r="M14" i="1"/>
  <c r="N14" i="1"/>
  <c r="L14" i="1"/>
  <c r="K14" i="1"/>
  <c r="J14" i="1"/>
  <c r="I14" i="1"/>
  <c r="O14" i="1" s="1"/>
  <c r="P14" i="1" s="1"/>
  <c r="N13" i="1"/>
  <c r="M13" i="1"/>
  <c r="K13" i="1"/>
  <c r="J13" i="1"/>
  <c r="I13" i="1"/>
  <c r="L13" i="1"/>
  <c r="O13" i="1" l="1"/>
  <c r="P13" i="1" s="1"/>
</calcChain>
</file>

<file path=xl/sharedStrings.xml><?xml version="1.0" encoding="utf-8"?>
<sst xmlns="http://schemas.openxmlformats.org/spreadsheetml/2006/main" count="158" uniqueCount="56">
  <si>
    <t>Name</t>
  </si>
  <si>
    <t>Länge</t>
  </si>
  <si>
    <t>Volumen</t>
  </si>
  <si>
    <t>Hermann Braig</t>
  </si>
  <si>
    <t>Rindenabzug</t>
  </si>
  <si>
    <t>Lfd. Nr.</t>
  </si>
  <si>
    <t>Baumart</t>
  </si>
  <si>
    <t>Fichte</t>
  </si>
  <si>
    <t>Tanne</t>
  </si>
  <si>
    <t>Douglasie</t>
  </si>
  <si>
    <t>Buche</t>
  </si>
  <si>
    <t>Esche</t>
  </si>
  <si>
    <t>Kiefer</t>
  </si>
  <si>
    <t>Eiche</t>
  </si>
  <si>
    <t>Lärche</t>
  </si>
  <si>
    <t>Klasse</t>
  </si>
  <si>
    <t>2b</t>
  </si>
  <si>
    <t>4a</t>
  </si>
  <si>
    <t>3a</t>
  </si>
  <si>
    <t>2a</t>
  </si>
  <si>
    <t>1b2</t>
  </si>
  <si>
    <t>3b</t>
  </si>
  <si>
    <t>E-Preis</t>
  </si>
  <si>
    <t>HKS-Mittendmr</t>
  </si>
  <si>
    <t>HKS-Länge</t>
  </si>
  <si>
    <t>HKS-Volumen</t>
  </si>
  <si>
    <t>G-Preis</t>
  </si>
  <si>
    <t>HKS Volumen</t>
  </si>
  <si>
    <t>Nr. Sägeliste</t>
  </si>
  <si>
    <t>HKS Länge</t>
  </si>
  <si>
    <t>Code</t>
  </si>
  <si>
    <t>L3a</t>
  </si>
  <si>
    <t>L1b2</t>
  </si>
  <si>
    <t>L2a</t>
  </si>
  <si>
    <t>L2b</t>
  </si>
  <si>
    <t>L3b</t>
  </si>
  <si>
    <t>L4a</t>
  </si>
  <si>
    <t>HKS Mitten-Dmr</t>
  </si>
  <si>
    <t>Summe G-Preis</t>
  </si>
  <si>
    <t>Abwicklung Verkauf</t>
  </si>
  <si>
    <t>Fakturierung</t>
  </si>
  <si>
    <t>Summe Los</t>
  </si>
  <si>
    <t>Menge</t>
  </si>
  <si>
    <t>E-Preis eff.</t>
  </si>
  <si>
    <t>G-Preis eff.</t>
  </si>
  <si>
    <t>Gesamtergebnis</t>
  </si>
  <si>
    <t>Zeilenbeschriftungen</t>
  </si>
  <si>
    <t>(Leer)</t>
  </si>
  <si>
    <t>Summe von G-Preis</t>
  </si>
  <si>
    <t>Güte</t>
  </si>
  <si>
    <t>B</t>
  </si>
  <si>
    <t>C</t>
  </si>
  <si>
    <t>Qualität</t>
  </si>
  <si>
    <t>Max Mustermann</t>
  </si>
  <si>
    <t>Felix Findig</t>
  </si>
  <si>
    <t>Mitten-DMR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</si>
</sst>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164" formatCode="0.000\ &quot;m³&quot;"/>
    <numFmt numFmtId="165" formatCode="0.0\ &quot;cm&quot;"/>
    <numFmt numFmtId="166" formatCode="0\ &quot;cm&quot;"/>
    <numFmt numFmtId="167" formatCode="0\ &quot;mm&quot;"/>
    <numFmt numFmtId="168" formatCode="_-* #,##0.00\ [$€-407]_-;\-* #,##0.00\ [$€-407]_-;_-* &quot;-&quot;??\ [$€-407]_-;_-@_-"/>
    <numFmt numFmtId="169" formatCode="0.00\ &quot;m&quot;"/>
    <numFmt numFmtId="170" formatCode="0.000\ &quot;FM&quot;"/>
    <numFmt numFmtId="171" formatCode="_-* #,##0.000\ &quot;€&quot;_-;\-* #,##0.000\ &quot;€&quot;_-;_-* &quot;-&quot;???\ &quot;€&quot;_-;_-@_-"/>
    <numFmt numFmtId="172" formatCode="0.00\ &quot;€/fm&quot;"/>
    <numFmt numFmtId="173" formatCode="0.000\ &quot;fm&quot;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1" xfId="0" applyBorder="1"/>
    <xf numFmtId="166" fontId="0" fillId="0" borderId="1" xfId="0" applyNumberFormat="1" applyBorder="1"/>
    <xf numFmtId="167" fontId="0" fillId="0" borderId="0" xfId="0" applyNumberFormat="1"/>
    <xf numFmtId="169" fontId="0" fillId="0" borderId="0" xfId="0" applyNumberFormat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169" fontId="1" fillId="2" borderId="1" xfId="0" applyNumberFormat="1" applyFont="1" applyFill="1" applyBorder="1"/>
    <xf numFmtId="164" fontId="0" fillId="3" borderId="1" xfId="0" applyNumberFormat="1" applyFill="1" applyBorder="1" applyAlignment="1">
      <alignment horizontal="right"/>
    </xf>
    <xf numFmtId="170" fontId="0" fillId="3" borderId="1" xfId="0" applyNumberFormat="1" applyFill="1" applyBorder="1" applyAlignment="1">
      <alignment horizontal="right"/>
    </xf>
    <xf numFmtId="170" fontId="0" fillId="0" borderId="0" xfId="0" applyNumberFormat="1"/>
    <xf numFmtId="166" fontId="1" fillId="2" borderId="1" xfId="0" applyNumberFormat="1" applyFont="1" applyFill="1" applyBorder="1"/>
    <xf numFmtId="167" fontId="1" fillId="2" borderId="1" xfId="0" applyNumberFormat="1" applyFont="1" applyFill="1" applyBorder="1"/>
    <xf numFmtId="170" fontId="1" fillId="2" borderId="1" xfId="0" applyNumberFormat="1" applyFont="1" applyFill="1" applyBorder="1"/>
    <xf numFmtId="0" fontId="1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0" fontId="0" fillId="4" borderId="1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167" fontId="0" fillId="4" borderId="1" xfId="0" applyNumberFormat="1" applyFill="1" applyBorder="1" applyProtection="1">
      <protection locked="0"/>
    </xf>
    <xf numFmtId="0" fontId="0" fillId="4" borderId="1" xfId="0" applyFill="1" applyBorder="1" applyAlignment="1" applyProtection="1">
      <alignment horizontal="center"/>
      <protection locked="0"/>
    </xf>
    <xf numFmtId="0" fontId="1" fillId="2" borderId="1" xfId="0" applyFont="1" applyFill="1" applyBorder="1" applyProtection="1"/>
    <xf numFmtId="0" fontId="0" fillId="0" borderId="0" xfId="0" applyProtection="1"/>
    <xf numFmtId="168" fontId="0" fillId="0" borderId="0" xfId="0" applyNumberFormat="1" applyProtection="1"/>
    <xf numFmtId="0" fontId="0" fillId="4" borderId="1" xfId="0" applyFill="1" applyBorder="1" applyProtection="1"/>
    <xf numFmtId="168" fontId="0" fillId="4" borderId="1" xfId="0" applyNumberFormat="1" applyFill="1" applyBorder="1" applyProtection="1"/>
    <xf numFmtId="168" fontId="0" fillId="3" borderId="1" xfId="0" applyNumberFormat="1" applyFill="1" applyBorder="1" applyProtection="1"/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right"/>
    </xf>
    <xf numFmtId="169" fontId="0" fillId="4" borderId="1" xfId="0" applyNumberFormat="1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1" fillId="5" borderId="1" xfId="0" applyFont="1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166" fontId="0" fillId="5" borderId="1" xfId="0" applyNumberFormat="1" applyFill="1" applyBorder="1" applyProtection="1"/>
    <xf numFmtId="167" fontId="0" fillId="5" borderId="1" xfId="0" applyNumberFormat="1" applyFill="1" applyBorder="1" applyProtection="1"/>
    <xf numFmtId="170" fontId="0" fillId="5" borderId="1" xfId="0" applyNumberFormat="1" applyFill="1" applyBorder="1" applyAlignment="1" applyProtection="1">
      <alignment horizontal="right"/>
    </xf>
    <xf numFmtId="0" fontId="3" fillId="3" borderId="1" xfId="0" applyFont="1" applyFill="1" applyBorder="1" applyAlignment="1" applyProtection="1">
      <alignment horizontal="center"/>
    </xf>
    <xf numFmtId="44" fontId="0" fillId="0" borderId="0" xfId="1" applyFont="1"/>
    <xf numFmtId="44" fontId="1" fillId="5" borderId="1" xfId="1" applyFont="1" applyFill="1" applyBorder="1" applyAlignment="1" applyProtection="1">
      <alignment horizontal="center"/>
    </xf>
    <xf numFmtId="44" fontId="0" fillId="5" borderId="1" xfId="1" applyFont="1" applyFill="1" applyBorder="1"/>
    <xf numFmtId="172" fontId="0" fillId="4" borderId="1" xfId="0" applyNumberFormat="1" applyFill="1" applyBorder="1" applyProtection="1"/>
    <xf numFmtId="0" fontId="0" fillId="3" borderId="1" xfId="0" applyFill="1" applyBorder="1" applyProtection="1"/>
    <xf numFmtId="44" fontId="0" fillId="3" borderId="1" xfId="1" applyFont="1" applyFill="1" applyBorder="1" applyProtection="1"/>
    <xf numFmtId="173" fontId="0" fillId="3" borderId="1" xfId="1" applyNumberFormat="1" applyFont="1" applyFill="1" applyBorder="1" applyProtection="1"/>
    <xf numFmtId="0" fontId="1" fillId="3" borderId="1" xfId="0" applyFont="1" applyFill="1" applyBorder="1" applyProtection="1"/>
    <xf numFmtId="44" fontId="1" fillId="3" borderId="1" xfId="1" applyFont="1" applyFill="1" applyBorder="1" applyProtection="1"/>
    <xf numFmtId="173" fontId="1" fillId="2" borderId="1" xfId="0" applyNumberFormat="1" applyFont="1" applyFill="1" applyBorder="1" applyProtection="1"/>
    <xf numFmtId="173" fontId="0" fillId="4" borderId="1" xfId="0" applyNumberFormat="1" applyFill="1" applyBorder="1" applyAlignment="1" applyProtection="1">
      <alignment horizontal="right"/>
    </xf>
    <xf numFmtId="173" fontId="0" fillId="0" borderId="0" xfId="0" applyNumberFormat="1" applyProtection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1" applyFont="1" applyProtection="1"/>
    <xf numFmtId="170" fontId="1" fillId="2" borderId="1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0" fillId="4" borderId="1" xfId="0" applyNumberFormat="1" applyFill="1" applyBorder="1" applyAlignment="1" applyProtection="1">
      <alignment horizontal="center"/>
      <protection locked="0"/>
    </xf>
    <xf numFmtId="0" fontId="0" fillId="4" borderId="1" xfId="0" applyFill="1" applyBorder="1" applyAlignment="1" applyProtection="1">
      <alignment horizontal="center"/>
    </xf>
    <xf numFmtId="170" fontId="0" fillId="5" borderId="1" xfId="0" applyNumberFormat="1" applyFill="1" applyBorder="1" applyAlignment="1" applyProtection="1">
      <alignment horizontal="center"/>
    </xf>
  </cellXfs>
  <cellStyles count="2">
    <cellStyle name="Standard" xfId="0" builtinId="0"/>
    <cellStyle name="Währung" xfId="1" builtinId="4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</xdr:row>
          <xdr:rowOff>139700</xdr:rowOff>
        </xdr:from>
        <xdr:to>
          <xdr:col>4</xdr:col>
          <xdr:colOff>635000</xdr:colOff>
          <xdr:row>4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Abrechnung aktualisieren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s Isenmann" refreshedDate="43609.939916550924" createdVersion="6" refreshedVersion="6" minRefreshableVersion="3" recordCount="50" xr:uid="{411FE0A7-A086-4F45-AC8A-0E5578EA4648}">
  <cacheSource type="worksheet">
    <worksheetSource ref="A1:P51" sheet="Holzliste"/>
  </cacheSource>
  <cacheFields count="16">
    <cacheField name="Lfd. Nr." numFmtId="0">
      <sharedItems containsSemiMixedTypes="0" containsString="0" containsNumber="1" containsInteger="1" minValue="1" maxValue="50"/>
    </cacheField>
    <cacheField name="Name" numFmtId="0">
      <sharedItems containsBlank="1" count="4">
        <s v="Hermann Braig"/>
        <s v="Max Mustermann"/>
        <s v="Felix Findig"/>
        <m/>
      </sharedItems>
    </cacheField>
    <cacheField name="Baumart" numFmtId="0">
      <sharedItems containsBlank="1"/>
    </cacheField>
    <cacheField name="Länge" numFmtId="169">
      <sharedItems containsString="0" containsBlank="1" containsNumber="1" containsInteger="1" minValue="10" maxValue="19"/>
    </cacheField>
    <cacheField name="Durchmesser" numFmtId="165">
      <sharedItems containsString="0" containsBlank="1" containsNumber="1" containsInteger="1" minValue="20" maxValue="45"/>
    </cacheField>
    <cacheField name="Rindenabzug" numFmtId="165">
      <sharedItems containsMixedTypes="1" containsNumber="1" containsInteger="1" minValue="1" maxValue="3"/>
    </cacheField>
    <cacheField name="Volumen" numFmtId="164">
      <sharedItems containsMixedTypes="1" containsNumber="1" minValue="0.36858735808242249" maxValue="1.6336281798666925"/>
    </cacheField>
    <cacheField name="Nr. Sägeliste" numFmtId="0">
      <sharedItems containsMixedTypes="1" containsNumber="1" containsInteger="1" minValue="1" maxValue="14"/>
    </cacheField>
    <cacheField name="Baumart2" numFmtId="0">
      <sharedItems/>
    </cacheField>
    <cacheField name="HKS Länge" numFmtId="166">
      <sharedItems containsMixedTypes="1" containsNumber="1" containsInteger="1" minValue="1000" maxValue="1900"/>
    </cacheField>
    <cacheField name="HKS Mitten-Dmr" numFmtId="167">
      <sharedItems containsMixedTypes="1" containsNumber="1" containsInteger="1" minValue="190" maxValue="440"/>
    </cacheField>
    <cacheField name="HKS Volumen" numFmtId="170">
      <sharedItems containsMixedTypes="1" containsNumber="1" minValue="0.36858735808242249" maxValue="1.7163306064724433"/>
    </cacheField>
    <cacheField name="Güte" numFmtId="170">
      <sharedItems/>
    </cacheField>
    <cacheField name="Klasse" numFmtId="0">
      <sharedItems/>
    </cacheField>
    <cacheField name="E-Preis" numFmtId="44">
      <sharedItems containsMixedTypes="1" containsNumber="1" minValue="45.2" maxValue="82.2"/>
    </cacheField>
    <cacheField name="G-Preis" numFmtId="44">
      <sharedItems containsSemiMixedTypes="0" containsString="0" containsNumber="1" minValue="0" maxValue="122.202739180837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s v="Fichte"/>
    <n v="14"/>
    <n v="33"/>
    <n v="2"/>
    <n v="1.056674689034927"/>
    <n v="12"/>
    <s v="Tanne"/>
    <n v="1400"/>
    <n v="310"/>
    <n v="1.056674689034927"/>
    <s v="B"/>
    <s v="3a"/>
    <n v="76.2"/>
    <n v="80.518611304461444"/>
  </r>
  <r>
    <n v="2"/>
    <x v="0"/>
    <s v="Tanne"/>
    <n v="14"/>
    <n v="31"/>
    <n v="2"/>
    <n v="0.92472779758415546"/>
    <n v="10"/>
    <s v="Tanne"/>
    <n v="1400"/>
    <n v="290"/>
    <n v="0.92472779758415558"/>
    <s v="B"/>
    <s v="2b"/>
    <n v="76.2"/>
    <n v="70.464258175912661"/>
  </r>
  <r>
    <n v="3"/>
    <x v="0"/>
    <s v="Tanne"/>
    <n v="10"/>
    <n v="45"/>
    <n v="3"/>
    <n v="1.3854423602330987"/>
    <n v="8"/>
    <s v="Tanne"/>
    <n v="1000"/>
    <n v="440"/>
    <n v="1.5205308443374599"/>
    <s v="C"/>
    <s v="4a"/>
    <n v="45.2"/>
    <n v="68.727994164053186"/>
  </r>
  <r>
    <n v="4"/>
    <x v="0"/>
    <s v="Tanne"/>
    <n v="11"/>
    <n v="44"/>
    <n v="3"/>
    <n v="1.4522797439382213"/>
    <n v="7"/>
    <s v="Tanne"/>
    <n v="1100"/>
    <n v="410"/>
    <n v="1.4522797439382213"/>
    <s v="C"/>
    <s v="4a"/>
    <n v="45.2"/>
    <n v="65.643044426007606"/>
  </r>
  <r>
    <n v="5"/>
    <x v="0"/>
    <s v="Tanne"/>
    <n v="19"/>
    <n v="22"/>
    <n v="1"/>
    <n v="0.65808512111072193"/>
    <n v="5"/>
    <s v="Tanne"/>
    <n v="1900"/>
    <n v="210"/>
    <n v="0.65808512111072193"/>
    <s v="B"/>
    <s v="2a"/>
    <n v="67.2"/>
    <n v="44.223320138640517"/>
  </r>
  <r>
    <n v="6"/>
    <x v="1"/>
    <s v="Tanne"/>
    <n v="11"/>
    <n v="43"/>
    <n v="3"/>
    <n v="1.3823007675795091"/>
    <n v="3"/>
    <s v="Tanne"/>
    <n v="1100"/>
    <n v="420"/>
    <n v="1.5239865962564085"/>
    <s v="C"/>
    <s v="4a"/>
    <n v="45.2"/>
    <n v="68.884194150789668"/>
  </r>
  <r>
    <n v="7"/>
    <x v="0"/>
    <s v="Tanne"/>
    <n v="13"/>
    <n v="43"/>
    <n v="3"/>
    <n v="1.6336281798666925"/>
    <n v="14"/>
    <s v="Tanne"/>
    <n v="1300"/>
    <n v="410"/>
    <n v="1.7163306064724433"/>
    <s v="B"/>
    <s v="4a"/>
    <n v="71.2"/>
    <n v="122.20273918083797"/>
  </r>
  <r>
    <n v="8"/>
    <x v="0"/>
    <s v="Tanne"/>
    <n v="19"/>
    <n v="31"/>
    <n v="2"/>
    <n v="1.2549877252927826"/>
    <n v="4"/>
    <s v="Fichte"/>
    <n v="1900"/>
    <n v="300"/>
    <n v="1.3430308594096365"/>
    <s v="B"/>
    <s v="3a"/>
    <n v="82.2"/>
    <n v="110.39713664347212"/>
  </r>
  <r>
    <n v="9"/>
    <x v="0"/>
    <s v="Tanne"/>
    <n v="13"/>
    <n v="39"/>
    <n v="3"/>
    <n v="1.3232388256920207"/>
    <n v="11"/>
    <s v="Tanne"/>
    <n v="1300"/>
    <n v="380"/>
    <n v="1.47434943232969"/>
    <s v="B"/>
    <s v="3b"/>
    <n v="74.2"/>
    <n v="109.396727878863"/>
  </r>
  <r>
    <n v="10"/>
    <x v="1"/>
    <s v="Tanne"/>
    <n v="14"/>
    <n v="22"/>
    <n v="1"/>
    <n v="0.48490482608158453"/>
    <n v="6"/>
    <s v="Tanne"/>
    <n v="1400"/>
    <n v="200"/>
    <n v="0.4398229715025711"/>
    <s v="C"/>
    <s v="2a"/>
    <n v="49.2"/>
    <n v="21.639290197926499"/>
  </r>
  <r>
    <n v="11"/>
    <x v="0"/>
    <s v="Tanne"/>
    <n v="16"/>
    <n v="29"/>
    <n v="2"/>
    <n v="0.91608841778678374"/>
    <n v="1"/>
    <s v="Tanne"/>
    <n v="1600"/>
    <n v="270"/>
    <n v="0.91608841778678363"/>
    <s v="B"/>
    <s v="2b"/>
    <n v="76.2"/>
    <n v="69.805937435352917"/>
  </r>
  <r>
    <n v="12"/>
    <x v="0"/>
    <s v="Tanne"/>
    <n v="15"/>
    <n v="28"/>
    <n v="2"/>
    <n v="0.79639373768501265"/>
    <n v="2"/>
    <s v="Tanne"/>
    <n v="1500"/>
    <n v="260"/>
    <n v="0.79639373768501276"/>
    <s v="B"/>
    <s v="2b"/>
    <n v="76.2"/>
    <n v="60.685202811597975"/>
  </r>
  <r>
    <n v="13"/>
    <x v="2"/>
    <s v="Tanne"/>
    <n v="16"/>
    <n v="22"/>
    <n v="1"/>
    <n v="0.55417694409323948"/>
    <n v="13"/>
    <s v="Tanne"/>
    <n v="1600"/>
    <n v="210"/>
    <n v="0.55417694409323948"/>
    <s v="C"/>
    <s v="2a"/>
    <n v="49.2"/>
    <n v="27.265505649387382"/>
  </r>
  <r>
    <n v="14"/>
    <x v="0"/>
    <s v="Tanne"/>
    <n v="13"/>
    <n v="20"/>
    <n v="1"/>
    <n v="0.36858735808242249"/>
    <n v="9"/>
    <s v="Tanne"/>
    <n v="1300"/>
    <n v="190"/>
    <n v="0.36858735808242249"/>
    <s v="B"/>
    <s v="1b2"/>
    <n v="57.2"/>
    <n v="21.083196882314567"/>
  </r>
  <r>
    <n v="15"/>
    <x v="3"/>
    <m/>
    <m/>
    <m/>
    <s v="-"/>
    <s v="-"/>
    <s v="-"/>
    <s v=""/>
    <s v=""/>
    <s v=""/>
    <s v=""/>
    <s v=""/>
    <s v=""/>
    <s v=""/>
    <n v="0"/>
  </r>
  <r>
    <n v="16"/>
    <x v="3"/>
    <m/>
    <m/>
    <m/>
    <s v="-"/>
    <s v="-"/>
    <s v="-"/>
    <s v=""/>
    <s v=""/>
    <s v=""/>
    <s v=""/>
    <s v=""/>
    <s v=""/>
    <s v=""/>
    <n v="0"/>
  </r>
  <r>
    <n v="17"/>
    <x v="3"/>
    <m/>
    <m/>
    <m/>
    <s v="-"/>
    <s v="-"/>
    <s v="-"/>
    <s v=""/>
    <s v=""/>
    <s v=""/>
    <s v=""/>
    <s v=""/>
    <s v=""/>
    <s v=""/>
    <n v="0"/>
  </r>
  <r>
    <n v="18"/>
    <x v="3"/>
    <m/>
    <m/>
    <m/>
    <s v="-"/>
    <s v="-"/>
    <s v="-"/>
    <s v=""/>
    <s v=""/>
    <s v=""/>
    <s v=""/>
    <s v=""/>
    <s v=""/>
    <s v=""/>
    <n v="0"/>
  </r>
  <r>
    <n v="19"/>
    <x v="3"/>
    <m/>
    <m/>
    <m/>
    <s v="-"/>
    <s v="-"/>
    <s v="-"/>
    <s v=""/>
    <s v=""/>
    <s v=""/>
    <s v=""/>
    <s v=""/>
    <s v=""/>
    <s v=""/>
    <n v="0"/>
  </r>
  <r>
    <n v="20"/>
    <x v="3"/>
    <m/>
    <m/>
    <m/>
    <s v="-"/>
    <s v="-"/>
    <s v="-"/>
    <s v=""/>
    <s v=""/>
    <s v=""/>
    <s v=""/>
    <s v=""/>
    <s v=""/>
    <s v=""/>
    <n v="0"/>
  </r>
  <r>
    <n v="21"/>
    <x v="3"/>
    <m/>
    <m/>
    <m/>
    <s v="-"/>
    <s v="-"/>
    <s v="-"/>
    <s v=""/>
    <s v=""/>
    <s v=""/>
    <s v=""/>
    <s v=""/>
    <s v=""/>
    <s v=""/>
    <n v="0"/>
  </r>
  <r>
    <n v="22"/>
    <x v="3"/>
    <m/>
    <m/>
    <m/>
    <s v="-"/>
    <s v="-"/>
    <s v="-"/>
    <s v=""/>
    <s v=""/>
    <s v=""/>
    <s v=""/>
    <s v=""/>
    <s v=""/>
    <s v=""/>
    <n v="0"/>
  </r>
  <r>
    <n v="23"/>
    <x v="3"/>
    <m/>
    <m/>
    <m/>
    <s v="-"/>
    <s v="-"/>
    <s v="-"/>
    <s v=""/>
    <s v=""/>
    <s v=""/>
    <s v=""/>
    <s v=""/>
    <s v=""/>
    <s v=""/>
    <n v="0"/>
  </r>
  <r>
    <n v="24"/>
    <x v="3"/>
    <m/>
    <m/>
    <m/>
    <s v="-"/>
    <s v="-"/>
    <s v="-"/>
    <s v=""/>
    <s v=""/>
    <s v=""/>
    <s v=""/>
    <s v=""/>
    <s v=""/>
    <s v=""/>
    <n v="0"/>
  </r>
  <r>
    <n v="25"/>
    <x v="3"/>
    <m/>
    <m/>
    <m/>
    <s v="-"/>
    <s v="-"/>
    <s v="-"/>
    <s v=""/>
    <s v=""/>
    <s v=""/>
    <s v=""/>
    <s v=""/>
    <s v=""/>
    <s v=""/>
    <n v="0"/>
  </r>
  <r>
    <n v="26"/>
    <x v="3"/>
    <m/>
    <m/>
    <m/>
    <s v="-"/>
    <s v="-"/>
    <s v="-"/>
    <s v=""/>
    <s v=""/>
    <s v=""/>
    <s v=""/>
    <s v=""/>
    <s v=""/>
    <s v=""/>
    <n v="0"/>
  </r>
  <r>
    <n v="27"/>
    <x v="3"/>
    <m/>
    <m/>
    <m/>
    <s v="-"/>
    <s v="-"/>
    <s v="-"/>
    <s v=""/>
    <s v=""/>
    <s v=""/>
    <s v=""/>
    <s v=""/>
    <s v=""/>
    <s v=""/>
    <n v="0"/>
  </r>
  <r>
    <n v="28"/>
    <x v="3"/>
    <m/>
    <m/>
    <m/>
    <s v="-"/>
    <s v="-"/>
    <s v="-"/>
    <s v=""/>
    <s v=""/>
    <s v=""/>
    <s v=""/>
    <s v=""/>
    <s v=""/>
    <s v=""/>
    <n v="0"/>
  </r>
  <r>
    <n v="29"/>
    <x v="3"/>
    <m/>
    <m/>
    <m/>
    <s v="-"/>
    <s v="-"/>
    <s v="-"/>
    <s v=""/>
    <s v=""/>
    <s v=""/>
    <s v=""/>
    <s v=""/>
    <s v=""/>
    <s v=""/>
    <n v="0"/>
  </r>
  <r>
    <n v="30"/>
    <x v="3"/>
    <m/>
    <m/>
    <m/>
    <s v="-"/>
    <s v="-"/>
    <s v="-"/>
    <s v=""/>
    <s v=""/>
    <s v=""/>
    <s v=""/>
    <s v=""/>
    <s v=""/>
    <s v=""/>
    <n v="0"/>
  </r>
  <r>
    <n v="31"/>
    <x v="3"/>
    <m/>
    <m/>
    <m/>
    <s v="-"/>
    <s v="-"/>
    <s v="-"/>
    <s v=""/>
    <s v=""/>
    <s v=""/>
    <s v=""/>
    <s v=""/>
    <s v=""/>
    <s v=""/>
    <n v="0"/>
  </r>
  <r>
    <n v="32"/>
    <x v="3"/>
    <m/>
    <m/>
    <m/>
    <s v="-"/>
    <s v="-"/>
    <s v="-"/>
    <s v=""/>
    <s v=""/>
    <s v=""/>
    <s v=""/>
    <s v=""/>
    <s v=""/>
    <s v=""/>
    <n v="0"/>
  </r>
  <r>
    <n v="33"/>
    <x v="3"/>
    <m/>
    <m/>
    <m/>
    <s v="-"/>
    <s v="-"/>
    <s v="-"/>
    <s v=""/>
    <s v=""/>
    <s v=""/>
    <s v=""/>
    <s v=""/>
    <s v=""/>
    <s v=""/>
    <n v="0"/>
  </r>
  <r>
    <n v="34"/>
    <x v="3"/>
    <m/>
    <m/>
    <m/>
    <s v="-"/>
    <s v="-"/>
    <s v="-"/>
    <s v=""/>
    <s v=""/>
    <s v=""/>
    <s v=""/>
    <s v=""/>
    <s v=""/>
    <s v=""/>
    <n v="0"/>
  </r>
  <r>
    <n v="35"/>
    <x v="3"/>
    <m/>
    <m/>
    <m/>
    <s v="-"/>
    <s v="-"/>
    <s v="-"/>
    <s v=""/>
    <s v=""/>
    <s v=""/>
    <s v=""/>
    <s v=""/>
    <s v=""/>
    <s v=""/>
    <n v="0"/>
  </r>
  <r>
    <n v="36"/>
    <x v="3"/>
    <m/>
    <m/>
    <m/>
    <s v="-"/>
    <s v="-"/>
    <s v="-"/>
    <s v=""/>
    <s v=""/>
    <s v=""/>
    <s v=""/>
    <s v=""/>
    <s v=""/>
    <s v=""/>
    <n v="0"/>
  </r>
  <r>
    <n v="37"/>
    <x v="3"/>
    <m/>
    <m/>
    <m/>
    <s v="-"/>
    <s v="-"/>
    <s v="-"/>
    <s v=""/>
    <s v=""/>
    <s v=""/>
    <s v=""/>
    <s v=""/>
    <s v=""/>
    <s v=""/>
    <n v="0"/>
  </r>
  <r>
    <n v="38"/>
    <x v="3"/>
    <m/>
    <m/>
    <m/>
    <s v="-"/>
    <s v="-"/>
    <s v="-"/>
    <s v=""/>
    <s v=""/>
    <s v=""/>
    <s v=""/>
    <s v=""/>
    <s v=""/>
    <s v=""/>
    <n v="0"/>
  </r>
  <r>
    <n v="39"/>
    <x v="3"/>
    <m/>
    <m/>
    <m/>
    <s v="-"/>
    <s v="-"/>
    <s v="-"/>
    <s v=""/>
    <s v=""/>
    <s v=""/>
    <s v=""/>
    <s v=""/>
    <s v=""/>
    <s v=""/>
    <n v="0"/>
  </r>
  <r>
    <n v="40"/>
    <x v="3"/>
    <m/>
    <m/>
    <m/>
    <s v="-"/>
    <s v="-"/>
    <s v="-"/>
    <s v=""/>
    <s v=""/>
    <s v=""/>
    <s v=""/>
    <s v=""/>
    <s v=""/>
    <s v=""/>
    <n v="0"/>
  </r>
  <r>
    <n v="41"/>
    <x v="3"/>
    <m/>
    <m/>
    <m/>
    <s v="-"/>
    <s v="-"/>
    <s v="-"/>
    <s v=""/>
    <s v=""/>
    <s v=""/>
    <s v=""/>
    <s v=""/>
    <s v=""/>
    <s v=""/>
    <n v="0"/>
  </r>
  <r>
    <n v="42"/>
    <x v="3"/>
    <m/>
    <m/>
    <m/>
    <s v="-"/>
    <s v="-"/>
    <s v="-"/>
    <s v=""/>
    <s v=""/>
    <s v=""/>
    <s v=""/>
    <s v=""/>
    <s v=""/>
    <s v=""/>
    <n v="0"/>
  </r>
  <r>
    <n v="43"/>
    <x v="3"/>
    <m/>
    <m/>
    <m/>
    <s v="-"/>
    <s v="-"/>
    <s v="-"/>
    <s v=""/>
    <s v=""/>
    <s v=""/>
    <s v=""/>
    <s v=""/>
    <s v=""/>
    <s v=""/>
    <n v="0"/>
  </r>
  <r>
    <n v="44"/>
    <x v="3"/>
    <m/>
    <m/>
    <m/>
    <s v="-"/>
    <s v="-"/>
    <s v="-"/>
    <s v=""/>
    <s v=""/>
    <s v=""/>
    <s v=""/>
    <s v=""/>
    <s v=""/>
    <s v=""/>
    <n v="0"/>
  </r>
  <r>
    <n v="45"/>
    <x v="3"/>
    <m/>
    <m/>
    <m/>
    <s v="-"/>
    <s v="-"/>
    <s v="-"/>
    <s v=""/>
    <s v=""/>
    <s v=""/>
    <s v=""/>
    <s v=""/>
    <s v=""/>
    <s v=""/>
    <n v="0"/>
  </r>
  <r>
    <n v="46"/>
    <x v="3"/>
    <m/>
    <m/>
    <m/>
    <s v="-"/>
    <s v="-"/>
    <s v="-"/>
    <s v=""/>
    <s v=""/>
    <s v=""/>
    <s v=""/>
    <s v=""/>
    <s v=""/>
    <s v=""/>
    <n v="0"/>
  </r>
  <r>
    <n v="47"/>
    <x v="3"/>
    <m/>
    <m/>
    <m/>
    <s v="-"/>
    <s v="-"/>
    <s v="-"/>
    <s v=""/>
    <s v=""/>
    <s v=""/>
    <s v=""/>
    <s v=""/>
    <s v=""/>
    <s v=""/>
    <n v="0"/>
  </r>
  <r>
    <n v="48"/>
    <x v="3"/>
    <m/>
    <m/>
    <m/>
    <s v="-"/>
    <s v="-"/>
    <s v="-"/>
    <s v=""/>
    <s v=""/>
    <s v=""/>
    <s v=""/>
    <s v=""/>
    <s v=""/>
    <s v=""/>
    <n v="0"/>
  </r>
  <r>
    <n v="49"/>
    <x v="3"/>
    <m/>
    <m/>
    <m/>
    <s v="-"/>
    <s v="-"/>
    <s v="-"/>
    <s v=""/>
    <s v=""/>
    <s v=""/>
    <s v=""/>
    <s v=""/>
    <s v=""/>
    <s v=""/>
    <n v="0"/>
  </r>
  <r>
    <n v="50"/>
    <x v="3"/>
    <m/>
    <m/>
    <m/>
    <s v="-"/>
    <s v="-"/>
    <s v="-"/>
    <s v=""/>
    <s v=""/>
    <s v=""/>
    <s v=""/>
    <s v=""/>
    <s v=""/>
    <s v="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36885-C690-F640-A1CB-EC41766EB7F0}" name="PivotTable1" cacheId="1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A1:B6" firstHeaderRow="1" firstDataRow="1" firstDataCol="1"/>
  <pivotFields count="16">
    <pivotField showAll="0"/>
    <pivotField axis="axisRow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7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me von G-Preis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D1C0D-A999-C04E-87FB-70CD6CAA2794}">
  <sheetPr codeName="Tabelle2"/>
  <dimension ref="A1:P51"/>
  <sheetViews>
    <sheetView topLeftCell="K1" zoomScale="130" zoomScaleNormal="130" zoomScaleSheetLayoutView="100" workbookViewId="0">
      <selection activeCell="O2" sqref="O2"/>
    </sheetView>
  </sheetViews>
  <sheetFormatPr baseColWidth="10" defaultColWidth="8.83203125" defaultRowHeight="15" x14ac:dyDescent="0.2"/>
  <cols>
    <col min="1" max="1" width="8.83203125" style="1"/>
    <col min="2" max="2" width="18.6640625" customWidth="1"/>
    <col min="3" max="3" width="11" customWidth="1"/>
    <col min="4" max="4" width="9.1640625" style="6" bestFit="1" customWidth="1"/>
    <col min="5" max="5" width="11.5" bestFit="1" customWidth="1"/>
    <col min="6" max="6" width="11.5" customWidth="1"/>
    <col min="7" max="7" width="10.5" customWidth="1"/>
    <col min="8" max="8" width="10.6640625" style="24" bestFit="1" customWidth="1"/>
    <col min="9" max="9" width="10.6640625" style="17" customWidth="1"/>
    <col min="10" max="10" width="13" style="24" bestFit="1" customWidth="1"/>
    <col min="11" max="11" width="14.6640625" style="24" bestFit="1" customWidth="1"/>
    <col min="12" max="12" width="13" style="24" bestFit="1" customWidth="1"/>
    <col min="13" max="13" width="5.5" style="17" bestFit="1" customWidth="1"/>
    <col min="14" max="14" width="8.83203125" style="17"/>
    <col min="15" max="15" width="15.6640625" style="39" customWidth="1"/>
    <col min="16" max="16" width="19.1640625" style="39" customWidth="1"/>
  </cols>
  <sheetData>
    <row r="1" spans="1:16" x14ac:dyDescent="0.2">
      <c r="A1" s="7" t="s">
        <v>5</v>
      </c>
      <c r="B1" s="8" t="s">
        <v>0</v>
      </c>
      <c r="C1" s="8" t="s">
        <v>6</v>
      </c>
      <c r="D1" s="9" t="s">
        <v>1</v>
      </c>
      <c r="E1" s="8" t="s">
        <v>55</v>
      </c>
      <c r="F1" s="8" t="s">
        <v>4</v>
      </c>
      <c r="G1" s="8" t="s">
        <v>2</v>
      </c>
      <c r="H1" s="33" t="s">
        <v>28</v>
      </c>
      <c r="I1" s="33" t="s">
        <v>6</v>
      </c>
      <c r="J1" s="33" t="s">
        <v>29</v>
      </c>
      <c r="K1" s="33" t="s">
        <v>37</v>
      </c>
      <c r="L1" s="33" t="s">
        <v>27</v>
      </c>
      <c r="M1" s="33" t="s">
        <v>49</v>
      </c>
      <c r="N1" s="33" t="s">
        <v>15</v>
      </c>
      <c r="O1" s="40" t="s">
        <v>22</v>
      </c>
      <c r="P1" s="40" t="s">
        <v>26</v>
      </c>
    </row>
    <row r="2" spans="1:16" x14ac:dyDescent="0.2">
      <c r="A2" s="29">
        <v>1</v>
      </c>
      <c r="B2" s="19" t="s">
        <v>3</v>
      </c>
      <c r="C2" s="19" t="s">
        <v>8</v>
      </c>
      <c r="D2" s="31">
        <v>14</v>
      </c>
      <c r="E2" s="32">
        <v>33</v>
      </c>
      <c r="F2" s="30">
        <f>IF(C2="Fichte",LOOKUP(E2,Rindenabzug!D$1:D$3,Rindenabzug!F$1:F$3),
IF(C2="Tanne",LOOKUP(E2,Rindenabzug!D$4:D$7,Rindenabzug!F$4:F$7),
IF(C2="Douglasie",LOOKUP(E2,Rindenabzug!D$8:D$12,Rindenabzug!F$8:F$12),
IF(C2="Buche",LOOKUP(E2,Rindenabzug!D$13:D$14,Rindenabzug!F$13:F$14),
IF(C2="Esche",LOOKUP(E2,Rindenabzug!D$15:D$18,Rindenabzug!F$15:F$18),
IF(C2="Kiefer",LOOKUP(E2,Rindenabzug!D$19:D$22,Rindenabzug!F$19:F$22),
IF(C2="Eiche",LOOKUP(E2,Rindenabzug!D$23:D$27,Rindenabzug!F$23:F$27),
IF(C2="Lärche",LOOKUP(E2,Rindenabzug!D$28:D$32,Rindenabzug!F$28:F$32),"-"))))))))</f>
        <v>2</v>
      </c>
      <c r="G2" s="10">
        <f>IF(ISBLANK(B2),"-",POWER((E2-F2)/200,2)*PI()*D2)</f>
        <v>1.056674689034927</v>
      </c>
      <c r="H2" s="34">
        <f>IF(ISBLANK(C2),"-",SearchBestMatch(C2,D2*100,E2*10,F2*10,Sägeliste!B$2:E$51,H$1:H1))</f>
        <v>12</v>
      </c>
      <c r="I2" s="34" t="str">
        <f>IF(H2="-","",VLOOKUP($H2,Sägeliste!$A$2:$G$51,2))</f>
        <v>Tanne</v>
      </c>
      <c r="J2" s="35">
        <f>IF(H2="-","",VLOOKUP($H2,Sägeliste!$A$2:$G$51,3))</f>
        <v>1400</v>
      </c>
      <c r="K2" s="36">
        <f>IF(H2="-","",VLOOKUP($H2,Sägeliste!$A$2:$G$51,4))</f>
        <v>310</v>
      </c>
      <c r="L2" s="37">
        <f>IF(H2="-","",VLOOKUP($H2,Sägeliste!$A$2:$G$51,5))</f>
        <v>1.056674689034927</v>
      </c>
      <c r="M2" s="58" t="str">
        <f>IF(H2="-","",VLOOKUP($H2,Sägeliste!$A$2:$G$51,6))</f>
        <v>B</v>
      </c>
      <c r="N2" s="34" t="str">
        <f>IF(H2="-","",VLOOKUP($H2,Sägeliste!$A$2:$G$51,7))</f>
        <v>3a</v>
      </c>
      <c r="O2" s="41">
        <f>IF(H2="-","",VLOOKUP(CONCATENATE(I2,"-",M2,"-L",N2),Gutschrift!B$2:J$51,8,))</f>
        <v>76.2</v>
      </c>
      <c r="P2" s="41">
        <f>IF(H2="-",0,O2*L2)</f>
        <v>80.518611304461444</v>
      </c>
    </row>
    <row r="3" spans="1:16" x14ac:dyDescent="0.2">
      <c r="A3" s="29">
        <v>2</v>
      </c>
      <c r="B3" s="19" t="s">
        <v>3</v>
      </c>
      <c r="C3" s="19" t="s">
        <v>8</v>
      </c>
      <c r="D3" s="31">
        <v>14</v>
      </c>
      <c r="E3" s="32">
        <v>31</v>
      </c>
      <c r="F3" s="30">
        <f>IF(C3="Fichte",LOOKUP(E3,Rindenabzug!D$1:D$3,Rindenabzug!F$1:F$3),
IF(C3="Tanne",LOOKUP(E3,Rindenabzug!D$4:D$7,Rindenabzug!F$4:F$7),
IF(C3="Douglasie",LOOKUP(E3,Rindenabzug!D$8:D$12,Rindenabzug!F$8:F$12),
IF(C3="Buche",LOOKUP(E3,Rindenabzug!D$13:D$14,Rindenabzug!F$13:F$14),
IF(C3="Esche",LOOKUP(E3,Rindenabzug!D$15:D$18,Rindenabzug!F$15:F$18),
IF(C3="Kiefer",LOOKUP(E3,Rindenabzug!D$19:D$22,Rindenabzug!F$19:F$22),
IF(C3="Eiche",LOOKUP(E3,Rindenabzug!D$23:D$27,Rindenabzug!F$23:F$27),
IF(C3="Lärche",LOOKUP(E3,Rindenabzug!D$28:D$32,Rindenabzug!F$28:F$32),"-"))))))))</f>
        <v>2</v>
      </c>
      <c r="G3" s="10">
        <f t="shared" ref="G3:G51" si="0">IF(ISBLANK(B3),"-",POWER((E3-F3)/200,2)*PI()*D3)</f>
        <v>0.92472779758415546</v>
      </c>
      <c r="H3" s="34">
        <f>IF(ISBLANK(C3),"-",SearchBestMatch(C3,D3*100,E3*10,F3*10,Sägeliste!B$2:E$51,H$1:H2))</f>
        <v>10</v>
      </c>
      <c r="I3" s="34" t="str">
        <f>IF(H3="-","",VLOOKUP($H3,Sägeliste!$A$2:$G$51,2))</f>
        <v>Tanne</v>
      </c>
      <c r="J3" s="35">
        <f>IF(H3="-","",VLOOKUP($H3,Sägeliste!$A$2:$G$51,3))</f>
        <v>1400</v>
      </c>
      <c r="K3" s="36">
        <f>IF(H3="-","",VLOOKUP($H3,Sägeliste!$A$2:$G$51,4))</f>
        <v>290</v>
      </c>
      <c r="L3" s="37">
        <f>IF(H3="-","",VLOOKUP($H3,Sägeliste!$A$2:$G$51,5))</f>
        <v>0.92472779758415558</v>
      </c>
      <c r="M3" s="58" t="str">
        <f>IF(H3="-","",VLOOKUP($H3,Sägeliste!$A$2:$G$51,6))</f>
        <v>B</v>
      </c>
      <c r="N3" s="34" t="str">
        <f>IF(H3="-","",VLOOKUP($H3,Sägeliste!$A$2:$G$51,7))</f>
        <v>2b</v>
      </c>
      <c r="O3" s="41">
        <f>IF(H3="-","",VLOOKUP(CONCATENATE(I3,"-",M3,"-L",N3),Gutschrift!B$2:J$51,8,))</f>
        <v>76.2</v>
      </c>
      <c r="P3" s="41">
        <f t="shared" ref="P3:P51" si="1">IF(H3="-",0,O3*L3)</f>
        <v>70.464258175912661</v>
      </c>
    </row>
    <row r="4" spans="1:16" x14ac:dyDescent="0.2">
      <c r="A4" s="29">
        <v>3</v>
      </c>
      <c r="B4" s="19" t="s">
        <v>3</v>
      </c>
      <c r="C4" s="19" t="s">
        <v>8</v>
      </c>
      <c r="D4" s="31">
        <v>10</v>
      </c>
      <c r="E4" s="32">
        <v>45</v>
      </c>
      <c r="F4" s="30">
        <f>IF(C4="Fichte",LOOKUP(E4,Rindenabzug!D$1:D$3,Rindenabzug!F$1:F$3),
IF(C4="Tanne",LOOKUP(E4,Rindenabzug!D$4:D$7,Rindenabzug!F$4:F$7),
IF(C4="Douglasie",LOOKUP(E4,Rindenabzug!D$8:D$12,Rindenabzug!F$8:F$12),
IF(C4="Buche",LOOKUP(E4,Rindenabzug!D$13:D$14,Rindenabzug!F$13:F$14),
IF(C4="Esche",LOOKUP(E4,Rindenabzug!D$15:D$18,Rindenabzug!F$15:F$18),
IF(C4="Kiefer",LOOKUP(E4,Rindenabzug!D$19:D$22,Rindenabzug!F$19:F$22),
IF(C4="Eiche",LOOKUP(E4,Rindenabzug!D$23:D$27,Rindenabzug!F$23:F$27),
IF(C4="Lärche",LOOKUP(E4,Rindenabzug!D$28:D$32,Rindenabzug!F$28:F$32),"-"))))))))</f>
        <v>3</v>
      </c>
      <c r="G4" s="10">
        <f t="shared" si="0"/>
        <v>1.3854423602330987</v>
      </c>
      <c r="H4" s="34">
        <f>IF(ISBLANK(C4),"-",SearchBestMatch(C4,D4*100,E4*10,F4*10,Sägeliste!B$2:E$51,H$1:H3))</f>
        <v>8</v>
      </c>
      <c r="I4" s="34" t="str">
        <f>IF(H4="-","",VLOOKUP($H4,Sägeliste!$A$2:$G$51,2))</f>
        <v>Tanne</v>
      </c>
      <c r="J4" s="35">
        <f>IF(H4="-","",VLOOKUP($H4,Sägeliste!$A$2:$G$51,3))</f>
        <v>1000</v>
      </c>
      <c r="K4" s="36">
        <f>IF(H4="-","",VLOOKUP($H4,Sägeliste!$A$2:$G$51,4))</f>
        <v>440</v>
      </c>
      <c r="L4" s="37">
        <f>IF(H4="-","",VLOOKUP($H4,Sägeliste!$A$2:$G$51,5))</f>
        <v>1.5205308443374599</v>
      </c>
      <c r="M4" s="58" t="str">
        <f>IF(H4="-","",VLOOKUP($H4,Sägeliste!$A$2:$G$51,6))</f>
        <v>C</v>
      </c>
      <c r="N4" s="34" t="str">
        <f>IF(H4="-","",VLOOKUP($H4,Sägeliste!$A$2:$G$51,7))</f>
        <v>4a</v>
      </c>
      <c r="O4" s="41">
        <f>IF(H4="-","",VLOOKUP(CONCATENATE(I4,"-",M4,"-L",N4),Gutschrift!B$2:J$51,8,))</f>
        <v>45.2</v>
      </c>
      <c r="P4" s="41">
        <f t="shared" si="1"/>
        <v>68.727994164053186</v>
      </c>
    </row>
    <row r="5" spans="1:16" x14ac:dyDescent="0.2">
      <c r="A5" s="29">
        <v>4</v>
      </c>
      <c r="B5" s="19" t="s">
        <v>3</v>
      </c>
      <c r="C5" s="19" t="s">
        <v>8</v>
      </c>
      <c r="D5" s="31">
        <v>11</v>
      </c>
      <c r="E5" s="32">
        <v>44</v>
      </c>
      <c r="F5" s="30">
        <f>IF(C5="Fichte",LOOKUP(E5,Rindenabzug!D$1:D$3,Rindenabzug!F$1:F$3),
IF(C5="Tanne",LOOKUP(E5,Rindenabzug!D$4:D$7,Rindenabzug!F$4:F$7),
IF(C5="Douglasie",LOOKUP(E5,Rindenabzug!D$8:D$12,Rindenabzug!F$8:F$12),
IF(C5="Buche",LOOKUP(E5,Rindenabzug!D$13:D$14,Rindenabzug!F$13:F$14),
IF(C5="Esche",LOOKUP(E5,Rindenabzug!D$15:D$18,Rindenabzug!F$15:F$18),
IF(C5="Kiefer",LOOKUP(E5,Rindenabzug!D$19:D$22,Rindenabzug!F$19:F$22),
IF(C5="Eiche",LOOKUP(E5,Rindenabzug!D$23:D$27,Rindenabzug!F$23:F$27),
IF(C5="Lärche",LOOKUP(E5,Rindenabzug!D$28:D$32,Rindenabzug!F$28:F$32),"-"))))))))</f>
        <v>3</v>
      </c>
      <c r="G5" s="10">
        <f t="shared" si="0"/>
        <v>1.4522797439382213</v>
      </c>
      <c r="H5" s="34">
        <f>IF(ISBLANK(C5),"-",SearchBestMatch(C5,D5*100,E5*10,F5*10,Sägeliste!B$2:E$51,H$1:H4))</f>
        <v>7</v>
      </c>
      <c r="I5" s="34" t="str">
        <f>IF(H5="-","",VLOOKUP($H5,Sägeliste!$A$2:$G$51,2))</f>
        <v>Tanne</v>
      </c>
      <c r="J5" s="35">
        <f>IF(H5="-","",VLOOKUP($H5,Sägeliste!$A$2:$G$51,3))</f>
        <v>1100</v>
      </c>
      <c r="K5" s="36">
        <f>IF(H5="-","",VLOOKUP($H5,Sägeliste!$A$2:$G$51,4))</f>
        <v>410</v>
      </c>
      <c r="L5" s="37">
        <f>IF(H5="-","",VLOOKUP($H5,Sägeliste!$A$2:$G$51,5))</f>
        <v>1.4522797439382213</v>
      </c>
      <c r="M5" s="58" t="str">
        <f>IF(H5="-","",VLOOKUP($H5,Sägeliste!$A$2:$G$51,6))</f>
        <v>C</v>
      </c>
      <c r="N5" s="34" t="str">
        <f>IF(H5="-","",VLOOKUP($H5,Sägeliste!$A$2:$G$51,7))</f>
        <v>4a</v>
      </c>
      <c r="O5" s="41">
        <f>IF(H5="-","",VLOOKUP(CONCATENATE(I5,"-",M5,"-L",N5),Gutschrift!B$2:J$51,8,))</f>
        <v>45.2</v>
      </c>
      <c r="P5" s="41">
        <f t="shared" si="1"/>
        <v>65.643044426007606</v>
      </c>
    </row>
    <row r="6" spans="1:16" x14ac:dyDescent="0.2">
      <c r="A6" s="29">
        <v>5</v>
      </c>
      <c r="B6" s="19" t="s">
        <v>3</v>
      </c>
      <c r="C6" s="19" t="s">
        <v>8</v>
      </c>
      <c r="D6" s="31">
        <v>19</v>
      </c>
      <c r="E6" s="32">
        <v>22</v>
      </c>
      <c r="F6" s="30">
        <f>IF(C6="Fichte",LOOKUP(E6,Rindenabzug!D$1:D$3,Rindenabzug!F$1:F$3),
IF(C6="Tanne",LOOKUP(E6,Rindenabzug!D$4:D$7,Rindenabzug!F$4:F$7),
IF(C6="Douglasie",LOOKUP(E6,Rindenabzug!D$8:D$12,Rindenabzug!F$8:F$12),
IF(C6="Buche",LOOKUP(E6,Rindenabzug!D$13:D$14,Rindenabzug!F$13:F$14),
IF(C6="Esche",LOOKUP(E6,Rindenabzug!D$15:D$18,Rindenabzug!F$15:F$18),
IF(C6="Kiefer",LOOKUP(E6,Rindenabzug!D$19:D$22,Rindenabzug!F$19:F$22),
IF(C6="Eiche",LOOKUP(E6,Rindenabzug!D$23:D$27,Rindenabzug!F$23:F$27),
IF(C6="Lärche",LOOKUP(E6,Rindenabzug!D$28:D$32,Rindenabzug!F$28:F$32),"-"))))))))</f>
        <v>1</v>
      </c>
      <c r="G6" s="10">
        <f t="shared" si="0"/>
        <v>0.65808512111072193</v>
      </c>
      <c r="H6" s="34">
        <f>IF(ISBLANK(C6),"-",SearchBestMatch(C6,D6*100,E6*10,F6*10,Sägeliste!B$2:E$51,H$1:H5))</f>
        <v>5</v>
      </c>
      <c r="I6" s="34" t="str">
        <f>IF(H6="-","",VLOOKUP($H6,Sägeliste!$A$2:$G$51,2))</f>
        <v>Tanne</v>
      </c>
      <c r="J6" s="35">
        <f>IF(H6="-","",VLOOKUP($H6,Sägeliste!$A$2:$G$51,3))</f>
        <v>1900</v>
      </c>
      <c r="K6" s="36">
        <f>IF(H6="-","",VLOOKUP($H6,Sägeliste!$A$2:$G$51,4))</f>
        <v>210</v>
      </c>
      <c r="L6" s="37">
        <f>IF(H6="-","",VLOOKUP($H6,Sägeliste!$A$2:$G$51,5))</f>
        <v>0.65808512111072193</v>
      </c>
      <c r="M6" s="58" t="str">
        <f>IF(H6="-","",VLOOKUP($H6,Sägeliste!$A$2:$G$51,6))</f>
        <v>B</v>
      </c>
      <c r="N6" s="34" t="str">
        <f>IF(H6="-","",VLOOKUP($H6,Sägeliste!$A$2:$G$51,7))</f>
        <v>2a</v>
      </c>
      <c r="O6" s="41">
        <f>IF(H6="-","",VLOOKUP(CONCATENATE(I6,"-",M6,"-L",N6),Gutschrift!B$2:J$51,8,))</f>
        <v>67.2</v>
      </c>
      <c r="P6" s="41">
        <f t="shared" si="1"/>
        <v>44.223320138640517</v>
      </c>
    </row>
    <row r="7" spans="1:16" x14ac:dyDescent="0.2">
      <c r="A7" s="29">
        <v>6</v>
      </c>
      <c r="B7" s="19" t="s">
        <v>53</v>
      </c>
      <c r="C7" s="19" t="s">
        <v>8</v>
      </c>
      <c r="D7" s="31">
        <v>11</v>
      </c>
      <c r="E7" s="32">
        <v>43</v>
      </c>
      <c r="F7" s="30">
        <f>IF(C7="Fichte",LOOKUP(E7,Rindenabzug!D$1:D$3,Rindenabzug!F$1:F$3),
IF(C7="Tanne",LOOKUP(E7,Rindenabzug!D$4:D$7,Rindenabzug!F$4:F$7),
IF(C7="Douglasie",LOOKUP(E7,Rindenabzug!D$8:D$12,Rindenabzug!F$8:F$12),
IF(C7="Buche",LOOKUP(E7,Rindenabzug!D$13:D$14,Rindenabzug!F$13:F$14),
IF(C7="Esche",LOOKUP(E7,Rindenabzug!D$15:D$18,Rindenabzug!F$15:F$18),
IF(C7="Kiefer",LOOKUP(E7,Rindenabzug!D$19:D$22,Rindenabzug!F$19:F$22),
IF(C7="Eiche",LOOKUP(E7,Rindenabzug!D$23:D$27,Rindenabzug!F$23:F$27),
IF(C7="Lärche",LOOKUP(E7,Rindenabzug!D$28:D$32,Rindenabzug!F$28:F$32),"-"))))))))</f>
        <v>3</v>
      </c>
      <c r="G7" s="10">
        <f t="shared" si="0"/>
        <v>1.3823007675795091</v>
      </c>
      <c r="H7" s="34">
        <f>IF(ISBLANK(C7),"-",SearchBestMatch(C7,D7*100,E7*10,F7*10,Sägeliste!B$2:E$51,H$1:H6))</f>
        <v>3</v>
      </c>
      <c r="I7" s="34" t="str">
        <f>IF(H7="-","",VLOOKUP($H7,Sägeliste!$A$2:$G$51,2))</f>
        <v>Tanne</v>
      </c>
      <c r="J7" s="35">
        <f>IF(H7="-","",VLOOKUP($H7,Sägeliste!$A$2:$G$51,3))</f>
        <v>1100</v>
      </c>
      <c r="K7" s="36">
        <f>IF(H7="-","",VLOOKUP($H7,Sägeliste!$A$2:$G$51,4))</f>
        <v>420</v>
      </c>
      <c r="L7" s="37">
        <f>IF(H7="-","",VLOOKUP($H7,Sägeliste!$A$2:$G$51,5))</f>
        <v>1.5239865962564085</v>
      </c>
      <c r="M7" s="58" t="str">
        <f>IF(H7="-","",VLOOKUP($H7,Sägeliste!$A$2:$G$51,6))</f>
        <v>C</v>
      </c>
      <c r="N7" s="34" t="str">
        <f>IF(H7="-","",VLOOKUP($H7,Sägeliste!$A$2:$G$51,7))</f>
        <v>4a</v>
      </c>
      <c r="O7" s="41">
        <f>IF(H7="-","",VLOOKUP(CONCATENATE(I7,"-",M7,"-L",N7),Gutschrift!B$2:J$51,8,))</f>
        <v>45.2</v>
      </c>
      <c r="P7" s="41">
        <f t="shared" si="1"/>
        <v>68.884194150789668</v>
      </c>
    </row>
    <row r="8" spans="1:16" x14ac:dyDescent="0.2">
      <c r="A8" s="29">
        <v>7</v>
      </c>
      <c r="B8" s="19" t="s">
        <v>3</v>
      </c>
      <c r="C8" s="19" t="s">
        <v>8</v>
      </c>
      <c r="D8" s="31">
        <v>13</v>
      </c>
      <c r="E8" s="32">
        <v>43</v>
      </c>
      <c r="F8" s="30">
        <f>IF(C8="Fichte",LOOKUP(E8,Rindenabzug!D$1:D$3,Rindenabzug!F$1:F$3),
IF(C8="Tanne",LOOKUP(E8,Rindenabzug!D$4:D$7,Rindenabzug!F$4:F$7),
IF(C8="Douglasie",LOOKUP(E8,Rindenabzug!D$8:D$12,Rindenabzug!F$8:F$12),
IF(C8="Buche",LOOKUP(E8,Rindenabzug!D$13:D$14,Rindenabzug!F$13:F$14),
IF(C8="Esche",LOOKUP(E8,Rindenabzug!D$15:D$18,Rindenabzug!F$15:F$18),
IF(C8="Kiefer",LOOKUP(E8,Rindenabzug!D$19:D$22,Rindenabzug!F$19:F$22),
IF(C8="Eiche",LOOKUP(E8,Rindenabzug!D$23:D$27,Rindenabzug!F$23:F$27),
IF(C8="Lärche",LOOKUP(E8,Rindenabzug!D$28:D$32,Rindenabzug!F$28:F$32),"-"))))))))</f>
        <v>3</v>
      </c>
      <c r="G8" s="10">
        <f t="shared" si="0"/>
        <v>1.6336281798666925</v>
      </c>
      <c r="H8" s="34">
        <f>IF(ISBLANK(C8),"-",SearchBestMatch(C8,D8*100,E8*10,F8*10,Sägeliste!B$2:E$51,H$1:H7))</f>
        <v>14</v>
      </c>
      <c r="I8" s="34" t="str">
        <f>IF(H8="-","",VLOOKUP($H8,Sägeliste!$A$2:$G$51,2))</f>
        <v>Tanne</v>
      </c>
      <c r="J8" s="35">
        <f>IF(H8="-","",VLOOKUP($H8,Sägeliste!$A$2:$G$51,3))</f>
        <v>1300</v>
      </c>
      <c r="K8" s="36">
        <f>IF(H8="-","",VLOOKUP($H8,Sägeliste!$A$2:$G$51,4))</f>
        <v>410</v>
      </c>
      <c r="L8" s="37">
        <f>IF(H8="-","",VLOOKUP($H8,Sägeliste!$A$2:$G$51,5))</f>
        <v>1.7163306064724433</v>
      </c>
      <c r="M8" s="58" t="str">
        <f>IF(H8="-","",VLOOKUP($H8,Sägeliste!$A$2:$G$51,6))</f>
        <v>B</v>
      </c>
      <c r="N8" s="34" t="str">
        <f>IF(H8="-","",VLOOKUP($H8,Sägeliste!$A$2:$G$51,7))</f>
        <v>4a</v>
      </c>
      <c r="O8" s="41">
        <f>IF(H8="-","",VLOOKUP(CONCATENATE(I8,"-",M8,"-L",N8),Gutschrift!B$2:J$51,8,))</f>
        <v>71.2</v>
      </c>
      <c r="P8" s="41">
        <f t="shared" si="1"/>
        <v>122.20273918083797</v>
      </c>
    </row>
    <row r="9" spans="1:16" x14ac:dyDescent="0.2">
      <c r="A9" s="29">
        <v>8</v>
      </c>
      <c r="B9" s="19" t="s">
        <v>3</v>
      </c>
      <c r="C9" s="19" t="s">
        <v>8</v>
      </c>
      <c r="D9" s="31">
        <v>19</v>
      </c>
      <c r="E9" s="32">
        <v>31</v>
      </c>
      <c r="F9" s="30">
        <f>IF(C9="Fichte",LOOKUP(E9,Rindenabzug!D$1:D$3,Rindenabzug!F$1:F$3),
IF(C9="Tanne",LOOKUP(E9,Rindenabzug!D$4:D$7,Rindenabzug!F$4:F$7),
IF(C9="Douglasie",LOOKUP(E9,Rindenabzug!D$8:D$12,Rindenabzug!F$8:F$12),
IF(C9="Buche",LOOKUP(E9,Rindenabzug!D$13:D$14,Rindenabzug!F$13:F$14),
IF(C9="Esche",LOOKUP(E9,Rindenabzug!D$15:D$18,Rindenabzug!F$15:F$18),
IF(C9="Kiefer",LOOKUP(E9,Rindenabzug!D$19:D$22,Rindenabzug!F$19:F$22),
IF(C9="Eiche",LOOKUP(E9,Rindenabzug!D$23:D$27,Rindenabzug!F$23:F$27),
IF(C9="Lärche",LOOKUP(E9,Rindenabzug!D$28:D$32,Rindenabzug!F$28:F$32),"-"))))))))</f>
        <v>2</v>
      </c>
      <c r="G9" s="10">
        <f t="shared" si="0"/>
        <v>1.2549877252927826</v>
      </c>
      <c r="H9" s="34">
        <f>IF(ISBLANK(C9),"-",SearchBestMatch(C9,D9*100,E9*10,F9*10,Sägeliste!B$2:E$51,H$1:H8))</f>
        <v>4</v>
      </c>
      <c r="I9" s="34" t="str">
        <f>IF(H9="-","",VLOOKUP($H9,Sägeliste!$A$2:$G$51,2))</f>
        <v>Fichte</v>
      </c>
      <c r="J9" s="35">
        <f>IF(H9="-","",VLOOKUP($H9,Sägeliste!$A$2:$G$51,3))</f>
        <v>1900</v>
      </c>
      <c r="K9" s="36">
        <f>IF(H9="-","",VLOOKUP($H9,Sägeliste!$A$2:$G$51,4))</f>
        <v>300</v>
      </c>
      <c r="L9" s="37">
        <f>IF(H9="-","",VLOOKUP($H9,Sägeliste!$A$2:$G$51,5))</f>
        <v>1.3430308594096365</v>
      </c>
      <c r="M9" s="58" t="str">
        <f>IF(H9="-","",VLOOKUP($H9,Sägeliste!$A$2:$G$51,6))</f>
        <v>B</v>
      </c>
      <c r="N9" s="34" t="str">
        <f>IF(H9="-","",VLOOKUP($H9,Sägeliste!$A$2:$G$51,7))</f>
        <v>3a</v>
      </c>
      <c r="O9" s="41">
        <f>IF(H9="-","",VLOOKUP(CONCATENATE(I9,"-",M9,"-L",N9),Gutschrift!B$2:J$51,8,))</f>
        <v>82.2</v>
      </c>
      <c r="P9" s="41">
        <f t="shared" si="1"/>
        <v>110.39713664347212</v>
      </c>
    </row>
    <row r="10" spans="1:16" x14ac:dyDescent="0.2">
      <c r="A10" s="29">
        <v>9</v>
      </c>
      <c r="B10" s="19" t="s">
        <v>3</v>
      </c>
      <c r="C10" s="19" t="s">
        <v>8</v>
      </c>
      <c r="D10" s="31">
        <v>13</v>
      </c>
      <c r="E10" s="32">
        <v>39</v>
      </c>
      <c r="F10" s="30">
        <f>IF(C10="Fichte",LOOKUP(E10,Rindenabzug!D$1:D$3,Rindenabzug!F$1:F$3),
IF(C10="Tanne",LOOKUP(E10,Rindenabzug!D$4:D$7,Rindenabzug!F$4:F$7),
IF(C10="Douglasie",LOOKUP(E10,Rindenabzug!D$8:D$12,Rindenabzug!F$8:F$12),
IF(C10="Buche",LOOKUP(E10,Rindenabzug!D$13:D$14,Rindenabzug!F$13:F$14),
IF(C10="Esche",LOOKUP(E10,Rindenabzug!D$15:D$18,Rindenabzug!F$15:F$18),
IF(C10="Kiefer",LOOKUP(E10,Rindenabzug!D$19:D$22,Rindenabzug!F$19:F$22),
IF(C10="Eiche",LOOKUP(E10,Rindenabzug!D$23:D$27,Rindenabzug!F$23:F$27),
IF(C10="Lärche",LOOKUP(E10,Rindenabzug!D$28:D$32,Rindenabzug!F$28:F$32),"-"))))))))</f>
        <v>3</v>
      </c>
      <c r="G10" s="10">
        <f t="shared" si="0"/>
        <v>1.3232388256920207</v>
      </c>
      <c r="H10" s="34">
        <f>IF(ISBLANK(C10),"-",SearchBestMatch(C10,D10*100,E10*10,F10*10,Sägeliste!B$2:E$51,H$1:H9))</f>
        <v>11</v>
      </c>
      <c r="I10" s="34" t="str">
        <f>IF(H10="-","",VLOOKUP($H10,Sägeliste!$A$2:$G$51,2))</f>
        <v>Tanne</v>
      </c>
      <c r="J10" s="35">
        <f>IF(H10="-","",VLOOKUP($H10,Sägeliste!$A$2:$G$51,3))</f>
        <v>1300</v>
      </c>
      <c r="K10" s="36">
        <f>IF(H10="-","",VLOOKUP($H10,Sägeliste!$A$2:$G$51,4))</f>
        <v>380</v>
      </c>
      <c r="L10" s="37">
        <f>IF(H10="-","",VLOOKUP($H10,Sägeliste!$A$2:$G$51,5))</f>
        <v>1.47434943232969</v>
      </c>
      <c r="M10" s="58" t="str">
        <f>IF(H10="-","",VLOOKUP($H10,Sägeliste!$A$2:$G$51,6))</f>
        <v>B</v>
      </c>
      <c r="N10" s="34" t="str">
        <f>IF(H10="-","",VLOOKUP($H10,Sägeliste!$A$2:$G$51,7))</f>
        <v>3b</v>
      </c>
      <c r="O10" s="41">
        <f>IF(H10="-","",VLOOKUP(CONCATENATE(I10,"-",M10,"-L",N10),Gutschrift!B$2:J$51,8,))</f>
        <v>74.2</v>
      </c>
      <c r="P10" s="41">
        <f t="shared" si="1"/>
        <v>109.396727878863</v>
      </c>
    </row>
    <row r="11" spans="1:16" x14ac:dyDescent="0.2">
      <c r="A11" s="29">
        <v>10</v>
      </c>
      <c r="B11" s="19" t="s">
        <v>53</v>
      </c>
      <c r="C11" s="19" t="s">
        <v>8</v>
      </c>
      <c r="D11" s="31">
        <v>14</v>
      </c>
      <c r="E11" s="32">
        <v>22</v>
      </c>
      <c r="F11" s="30">
        <f>IF(C11="Fichte",LOOKUP(E11,Rindenabzug!D$1:D$3,Rindenabzug!F$1:F$3),
IF(C11="Tanne",LOOKUP(E11,Rindenabzug!D$4:D$7,Rindenabzug!F$4:F$7),
IF(C11="Douglasie",LOOKUP(E11,Rindenabzug!D$8:D$12,Rindenabzug!F$8:F$12),
IF(C11="Buche",LOOKUP(E11,Rindenabzug!D$13:D$14,Rindenabzug!F$13:F$14),
IF(C11="Esche",LOOKUP(E11,Rindenabzug!D$15:D$18,Rindenabzug!F$15:F$18),
IF(C11="Kiefer",LOOKUP(E11,Rindenabzug!D$19:D$22,Rindenabzug!F$19:F$22),
IF(C11="Eiche",LOOKUP(E11,Rindenabzug!D$23:D$27,Rindenabzug!F$23:F$27),
IF(C11="Lärche",LOOKUP(E11,Rindenabzug!D$28:D$32,Rindenabzug!F$28:F$32),"-"))))))))</f>
        <v>1</v>
      </c>
      <c r="G11" s="10">
        <f t="shared" si="0"/>
        <v>0.48490482608158453</v>
      </c>
      <c r="H11" s="34">
        <f>IF(ISBLANK(C11),"-",SearchBestMatch(C11,D11*100,E11*10,F11*10,Sägeliste!B$2:E$51,H$1:H10))</f>
        <v>6</v>
      </c>
      <c r="I11" s="34" t="str">
        <f>IF(H11="-","",VLOOKUP($H11,Sägeliste!$A$2:$G$51,2))</f>
        <v>Tanne</v>
      </c>
      <c r="J11" s="35">
        <f>IF(H11="-","",VLOOKUP($H11,Sägeliste!$A$2:$G$51,3))</f>
        <v>1400</v>
      </c>
      <c r="K11" s="36">
        <f>IF(H11="-","",VLOOKUP($H11,Sägeliste!$A$2:$G$51,4))</f>
        <v>200</v>
      </c>
      <c r="L11" s="37">
        <f>IF(H11="-","",VLOOKUP($H11,Sägeliste!$A$2:$G$51,5))</f>
        <v>0.4398229715025711</v>
      </c>
      <c r="M11" s="58" t="str">
        <f>IF(H11="-","",VLOOKUP($H11,Sägeliste!$A$2:$G$51,6))</f>
        <v>C</v>
      </c>
      <c r="N11" s="34" t="str">
        <f>IF(H11="-","",VLOOKUP($H11,Sägeliste!$A$2:$G$51,7))</f>
        <v>2a</v>
      </c>
      <c r="O11" s="41">
        <f>IF(H11="-","",VLOOKUP(CONCATENATE(I11,"-",M11,"-L",N11),Gutschrift!B$2:J$51,8,))</f>
        <v>49.2</v>
      </c>
      <c r="P11" s="41">
        <f t="shared" si="1"/>
        <v>21.639290197926499</v>
      </c>
    </row>
    <row r="12" spans="1:16" x14ac:dyDescent="0.2">
      <c r="A12" s="29">
        <v>11</v>
      </c>
      <c r="B12" s="19" t="s">
        <v>3</v>
      </c>
      <c r="C12" s="19" t="s">
        <v>8</v>
      </c>
      <c r="D12" s="31">
        <v>16</v>
      </c>
      <c r="E12" s="32">
        <v>29</v>
      </c>
      <c r="F12" s="30">
        <f>IF(C12="Fichte",LOOKUP(E12,Rindenabzug!D$1:D$3,Rindenabzug!F$1:F$3),
IF(C12="Tanne",LOOKUP(E12,Rindenabzug!D$4:D$7,Rindenabzug!F$4:F$7),
IF(C12="Douglasie",LOOKUP(E12,Rindenabzug!D$8:D$12,Rindenabzug!F$8:F$12),
IF(C12="Buche",LOOKUP(E12,Rindenabzug!D$13:D$14,Rindenabzug!F$13:F$14),
IF(C12="Esche",LOOKUP(E12,Rindenabzug!D$15:D$18,Rindenabzug!F$15:F$18),
IF(C12="Kiefer",LOOKUP(E12,Rindenabzug!D$19:D$22,Rindenabzug!F$19:F$22),
IF(C12="Eiche",LOOKUP(E12,Rindenabzug!D$23:D$27,Rindenabzug!F$23:F$27),
IF(C12="Lärche",LOOKUP(E12,Rindenabzug!D$28:D$32,Rindenabzug!F$28:F$32),"-"))))))))</f>
        <v>2</v>
      </c>
      <c r="G12" s="10">
        <f t="shared" si="0"/>
        <v>0.91608841778678374</v>
      </c>
      <c r="H12" s="34">
        <f>IF(ISBLANK(C12),"-",SearchBestMatch(C12,D12*100,E12*10,F12*10,Sägeliste!B$2:E$51,H$1:H11))</f>
        <v>1</v>
      </c>
      <c r="I12" s="34" t="str">
        <f>IF(H12="-","",VLOOKUP($H12,Sägeliste!$A$2:$G$51,2))</f>
        <v>Tanne</v>
      </c>
      <c r="J12" s="35">
        <f>IF(H12="-","",VLOOKUP($H12,Sägeliste!$A$2:$G$51,3))</f>
        <v>1600</v>
      </c>
      <c r="K12" s="36">
        <f>IF(H12="-","",VLOOKUP($H12,Sägeliste!$A$2:$G$51,4))</f>
        <v>270</v>
      </c>
      <c r="L12" s="37">
        <f>IF(H12="-","",VLOOKUP($H12,Sägeliste!$A$2:$G$51,5))</f>
        <v>0.91608841778678363</v>
      </c>
      <c r="M12" s="58" t="str">
        <f>IF(H12="-","",VLOOKUP($H12,Sägeliste!$A$2:$G$51,6))</f>
        <v>B</v>
      </c>
      <c r="N12" s="34" t="str">
        <f>IF(H12="-","",VLOOKUP($H12,Sägeliste!$A$2:$G$51,7))</f>
        <v>2b</v>
      </c>
      <c r="O12" s="41">
        <f>IF(H12="-","",VLOOKUP(CONCATENATE(I12,"-",M12,"-L",N12),Gutschrift!B$2:J$51,8,))</f>
        <v>76.2</v>
      </c>
      <c r="P12" s="41">
        <f t="shared" si="1"/>
        <v>69.805937435352917</v>
      </c>
    </row>
    <row r="13" spans="1:16" x14ac:dyDescent="0.2">
      <c r="A13" s="29">
        <v>12</v>
      </c>
      <c r="B13" s="19" t="s">
        <v>3</v>
      </c>
      <c r="C13" s="19" t="s">
        <v>8</v>
      </c>
      <c r="D13" s="31">
        <v>15</v>
      </c>
      <c r="E13" s="32">
        <v>28</v>
      </c>
      <c r="F13" s="30">
        <f>IF(C13="Fichte",LOOKUP(E13,Rindenabzug!D$1:D$3,Rindenabzug!F$1:F$3),
IF(C13="Tanne",LOOKUP(E13,Rindenabzug!D$4:D$7,Rindenabzug!F$4:F$7),
IF(C13="Douglasie",LOOKUP(E13,Rindenabzug!D$8:D$12,Rindenabzug!F$8:F$12),
IF(C13="Buche",LOOKUP(E13,Rindenabzug!D$13:D$14,Rindenabzug!F$13:F$14),
IF(C13="Esche",LOOKUP(E13,Rindenabzug!D$15:D$18,Rindenabzug!F$15:F$18),
IF(C13="Kiefer",LOOKUP(E13,Rindenabzug!D$19:D$22,Rindenabzug!F$19:F$22),
IF(C13="Eiche",LOOKUP(E13,Rindenabzug!D$23:D$27,Rindenabzug!F$23:F$27),
IF(C13="Lärche",LOOKUP(E13,Rindenabzug!D$28:D$32,Rindenabzug!F$28:F$32),"-"))))))))</f>
        <v>2</v>
      </c>
      <c r="G13" s="10">
        <f t="shared" si="0"/>
        <v>0.79639373768501265</v>
      </c>
      <c r="H13" s="34">
        <f>IF(ISBLANK(C13),"-",SearchBestMatch(C13,D13*100,E13*10,F13*10,Sägeliste!B$2:E$51,H$1:H12))</f>
        <v>2</v>
      </c>
      <c r="I13" s="34" t="str">
        <f>IF(H13="-","",VLOOKUP($H13,Sägeliste!$A$2:$G$51,2))</f>
        <v>Tanne</v>
      </c>
      <c r="J13" s="35">
        <f>IF(H13="-","",VLOOKUP($H13,Sägeliste!$A$2:$G$51,3))</f>
        <v>1500</v>
      </c>
      <c r="K13" s="36">
        <f>IF(H13="-","",VLOOKUP($H13,Sägeliste!$A$2:$G$51,4))</f>
        <v>260</v>
      </c>
      <c r="L13" s="37">
        <f>IF(H13="-","",VLOOKUP($H13,Sägeliste!$A$2:$G$51,5))</f>
        <v>0.79639373768501276</v>
      </c>
      <c r="M13" s="58" t="str">
        <f>IF(H13="-","",VLOOKUP($H13,Sägeliste!$A$2:$G$51,6))</f>
        <v>B</v>
      </c>
      <c r="N13" s="34" t="str">
        <f>IF(H13="-","",VLOOKUP($H13,Sägeliste!$A$2:$G$51,7))</f>
        <v>2b</v>
      </c>
      <c r="O13" s="41">
        <f>IF(H13="-","",VLOOKUP(CONCATENATE(I13,"-",M13,"-L",N13),Gutschrift!B$2:J$51,8,))</f>
        <v>76.2</v>
      </c>
      <c r="P13" s="41">
        <f t="shared" si="1"/>
        <v>60.685202811597975</v>
      </c>
    </row>
    <row r="14" spans="1:16" x14ac:dyDescent="0.2">
      <c r="A14" s="29">
        <v>13</v>
      </c>
      <c r="B14" s="19" t="s">
        <v>54</v>
      </c>
      <c r="C14" s="19" t="s">
        <v>8</v>
      </c>
      <c r="D14" s="31">
        <v>16</v>
      </c>
      <c r="E14" s="32">
        <v>22</v>
      </c>
      <c r="F14" s="30">
        <f>IF(C14="Fichte",LOOKUP(E14,Rindenabzug!D$1:D$3,Rindenabzug!F$1:F$3),
IF(C14="Tanne",LOOKUP(E14,Rindenabzug!D$4:D$7,Rindenabzug!F$4:F$7),
IF(C14="Douglasie",LOOKUP(E14,Rindenabzug!D$8:D$12,Rindenabzug!F$8:F$12),
IF(C14="Buche",LOOKUP(E14,Rindenabzug!D$13:D$14,Rindenabzug!F$13:F$14),
IF(C14="Esche",LOOKUP(E14,Rindenabzug!D$15:D$18,Rindenabzug!F$15:F$18),
IF(C14="Kiefer",LOOKUP(E14,Rindenabzug!D$19:D$22,Rindenabzug!F$19:F$22),
IF(C14="Eiche",LOOKUP(E14,Rindenabzug!D$23:D$27,Rindenabzug!F$23:F$27),
IF(C14="Lärche",LOOKUP(E14,Rindenabzug!D$28:D$32,Rindenabzug!F$28:F$32),"-"))))))))</f>
        <v>1</v>
      </c>
      <c r="G14" s="10">
        <f t="shared" si="0"/>
        <v>0.55417694409323948</v>
      </c>
      <c r="H14" s="34">
        <f>IF(ISBLANK(C14),"-",SearchBestMatch(C14,D14*100,E14*10,F14*10,Sägeliste!B$2:E$51,H$1:H13))</f>
        <v>13</v>
      </c>
      <c r="I14" s="34" t="str">
        <f>IF(H14="-","",VLOOKUP($H14,Sägeliste!$A$2:$G$51,2))</f>
        <v>Tanne</v>
      </c>
      <c r="J14" s="35">
        <f>IF(H14="-","",VLOOKUP($H14,Sägeliste!$A$2:$G$51,3))</f>
        <v>1600</v>
      </c>
      <c r="K14" s="36">
        <f>IF(H14="-","",VLOOKUP($H14,Sägeliste!$A$2:$G$51,4))</f>
        <v>210</v>
      </c>
      <c r="L14" s="37">
        <f>IF(H14="-","",VLOOKUP($H14,Sägeliste!$A$2:$G$51,5))</f>
        <v>0.55417694409323948</v>
      </c>
      <c r="M14" s="58" t="str">
        <f>IF(H14="-","",VLOOKUP($H14,Sägeliste!$A$2:$G$51,6))</f>
        <v>C</v>
      </c>
      <c r="N14" s="34" t="str">
        <f>IF(H14="-","",VLOOKUP($H14,Sägeliste!$A$2:$G$51,7))</f>
        <v>2a</v>
      </c>
      <c r="O14" s="41">
        <f>IF(H14="-","",VLOOKUP(CONCATENATE(I14,"-",M14,"-L",N14),Gutschrift!B$2:J$51,8,))</f>
        <v>49.2</v>
      </c>
      <c r="P14" s="41">
        <f t="shared" si="1"/>
        <v>27.265505649387382</v>
      </c>
    </row>
    <row r="15" spans="1:16" x14ac:dyDescent="0.2">
      <c r="A15" s="29">
        <v>14</v>
      </c>
      <c r="B15" s="19" t="s">
        <v>3</v>
      </c>
      <c r="C15" s="19" t="s">
        <v>8</v>
      </c>
      <c r="D15" s="31">
        <v>13</v>
      </c>
      <c r="E15" s="32">
        <v>20</v>
      </c>
      <c r="F15" s="30">
        <f>IF(C15="Fichte",LOOKUP(E15,Rindenabzug!D$1:D$3,Rindenabzug!F$1:F$3),
IF(C15="Tanne",LOOKUP(E15,Rindenabzug!D$4:D$7,Rindenabzug!F$4:F$7),
IF(C15="Douglasie",LOOKUP(E15,Rindenabzug!D$8:D$12,Rindenabzug!F$8:F$12),
IF(C15="Buche",LOOKUP(E15,Rindenabzug!D$13:D$14,Rindenabzug!F$13:F$14),
IF(C15="Esche",LOOKUP(E15,Rindenabzug!D$15:D$18,Rindenabzug!F$15:F$18),
IF(C15="Kiefer",LOOKUP(E15,Rindenabzug!D$19:D$22,Rindenabzug!F$19:F$22),
IF(C15="Eiche",LOOKUP(E15,Rindenabzug!D$23:D$27,Rindenabzug!F$23:F$27),
IF(C15="Lärche",LOOKUP(E15,Rindenabzug!D$28:D$32,Rindenabzug!F$28:F$32),"-"))))))))</f>
        <v>1</v>
      </c>
      <c r="G15" s="10">
        <f t="shared" si="0"/>
        <v>0.36858735808242249</v>
      </c>
      <c r="H15" s="34">
        <f>IF(ISBLANK(C15),"-",SearchBestMatch(C15,D15*100,E15*10,F15*10,Sägeliste!B$2:E$51,H$1:H14))</f>
        <v>9</v>
      </c>
      <c r="I15" s="34" t="str">
        <f>IF(H15="-","",VLOOKUP($H15,Sägeliste!$A$2:$G$51,2))</f>
        <v>Tanne</v>
      </c>
      <c r="J15" s="35">
        <f>IF(H15="-","",VLOOKUP($H15,Sägeliste!$A$2:$G$51,3))</f>
        <v>1300</v>
      </c>
      <c r="K15" s="36">
        <f>IF(H15="-","",VLOOKUP($H15,Sägeliste!$A$2:$G$51,4))</f>
        <v>190</v>
      </c>
      <c r="L15" s="37">
        <f>IF(H15="-","",VLOOKUP($H15,Sägeliste!$A$2:$G$51,5))</f>
        <v>0.36858735808242249</v>
      </c>
      <c r="M15" s="58" t="str">
        <f>IF(H15="-","",VLOOKUP($H15,Sägeliste!$A$2:$G$51,6))</f>
        <v>B</v>
      </c>
      <c r="N15" s="34" t="str">
        <f>IF(H15="-","",VLOOKUP($H15,Sägeliste!$A$2:$G$51,7))</f>
        <v>1b2</v>
      </c>
      <c r="O15" s="41">
        <f>IF(H15="-","",VLOOKUP(CONCATENATE(I15,"-",M15,"-L",N15),Gutschrift!B$2:J$51,8,))</f>
        <v>57.2</v>
      </c>
      <c r="P15" s="41">
        <f t="shared" si="1"/>
        <v>21.083196882314567</v>
      </c>
    </row>
    <row r="16" spans="1:16" x14ac:dyDescent="0.2">
      <c r="A16" s="29">
        <v>15</v>
      </c>
      <c r="B16" s="19"/>
      <c r="C16" s="19"/>
      <c r="D16" s="31"/>
      <c r="E16" s="32"/>
      <c r="F16" s="30" t="str">
        <f>IF(C16="Fichte",LOOKUP(E16,Rindenabzug!D$1:D$3,Rindenabzug!F$1:F$3),
IF(C16="Tanne",LOOKUP(E16,Rindenabzug!D$4:D$7,Rindenabzug!F$4:F$7),
IF(C16="Douglasie",LOOKUP(E16,Rindenabzug!D$8:D$12,Rindenabzug!F$8:F$12),
IF(C16="Buche",LOOKUP(E16,Rindenabzug!D$13:D$14,Rindenabzug!F$13:F$14),
IF(C16="Esche",LOOKUP(E16,Rindenabzug!D$15:D$18,Rindenabzug!F$15:F$18),
IF(C16="Kiefer",LOOKUP(E16,Rindenabzug!D$19:D$22,Rindenabzug!F$19:F$22),
IF(C16="Eiche",LOOKUP(E16,Rindenabzug!D$23:D$27,Rindenabzug!F$23:F$27),
IF(C16="Lärche",LOOKUP(E16,Rindenabzug!D$28:D$32,Rindenabzug!F$28:F$32),"-"))))))))</f>
        <v>-</v>
      </c>
      <c r="G16" s="10" t="str">
        <f t="shared" si="0"/>
        <v>-</v>
      </c>
      <c r="H16" s="34" t="str">
        <f>IF(ISBLANK(C16),"-",SearchBestMatch(C16,D16*100,E16*10,F16*10,Sägeliste!B$2:E$51,H$1:H15))</f>
        <v>-</v>
      </c>
      <c r="I16" s="34" t="str">
        <f>IF(H16="-","",VLOOKUP($H16,Sägeliste!$A$2:$G$51,2))</f>
        <v/>
      </c>
      <c r="J16" s="35" t="str">
        <f>IF(H16="-","",VLOOKUP($H16,Sägeliste!$A$2:$G$51,3))</f>
        <v/>
      </c>
      <c r="K16" s="36" t="str">
        <f>IF(H16="-","",VLOOKUP($H16,Sägeliste!$A$2:$G$51,4))</f>
        <v/>
      </c>
      <c r="L16" s="37" t="str">
        <f>IF(H16="-","",VLOOKUP($H16,Sägeliste!$A$2:$G$51,5))</f>
        <v/>
      </c>
      <c r="M16" s="58" t="str">
        <f>IF(H16="-","",VLOOKUP($H16,Sägeliste!$A$2:$G$51,6))</f>
        <v/>
      </c>
      <c r="N16" s="34" t="str">
        <f>IF(H16="-","",VLOOKUP($H16,Sägeliste!$A$2:$G$51,7))</f>
        <v/>
      </c>
      <c r="O16" s="41" t="str">
        <f>IF(H16="-","",VLOOKUP(CONCATENATE(I16,"-",M16,"-L",N16),Gutschrift!B$2:J$51,8,))</f>
        <v/>
      </c>
      <c r="P16" s="41">
        <f t="shared" si="1"/>
        <v>0</v>
      </c>
    </row>
    <row r="17" spans="1:16" x14ac:dyDescent="0.2">
      <c r="A17" s="29">
        <v>16</v>
      </c>
      <c r="B17" s="19"/>
      <c r="C17" s="19"/>
      <c r="D17" s="31"/>
      <c r="E17" s="32"/>
      <c r="F17" s="30" t="str">
        <f>IF(C17="Fichte",LOOKUP(E17,Rindenabzug!D$1:D$3,Rindenabzug!F$1:F$3),
IF(C17="Tanne",LOOKUP(E17,Rindenabzug!D$4:D$7,Rindenabzug!F$4:F$7),
IF(C17="Douglasie",LOOKUP(E17,Rindenabzug!D$8:D$12,Rindenabzug!F$8:F$12),
IF(C17="Buche",LOOKUP(E17,Rindenabzug!D$13:D$14,Rindenabzug!F$13:F$14),
IF(C17="Esche",LOOKUP(E17,Rindenabzug!D$15:D$18,Rindenabzug!F$15:F$18),
IF(C17="Kiefer",LOOKUP(E17,Rindenabzug!D$19:D$22,Rindenabzug!F$19:F$22),
IF(C17="Eiche",LOOKUP(E17,Rindenabzug!D$23:D$27,Rindenabzug!F$23:F$27),
IF(C17="Lärche",LOOKUP(E17,Rindenabzug!D$28:D$32,Rindenabzug!F$28:F$32),"-"))))))))</f>
        <v>-</v>
      </c>
      <c r="G17" s="10" t="str">
        <f t="shared" si="0"/>
        <v>-</v>
      </c>
      <c r="H17" s="34" t="str">
        <f>IF(ISBLANK(C17),"-",SearchBestMatch(C17,D17*100,E17*10,F17*10,Sägeliste!B$2:E$51,H$1:H16))</f>
        <v>-</v>
      </c>
      <c r="I17" s="34" t="str">
        <f>IF(H17="-","",VLOOKUP($H17,Sägeliste!$A$2:$G$51,2))</f>
        <v/>
      </c>
      <c r="J17" s="35" t="str">
        <f>IF(H17="-","",VLOOKUP($H17,Sägeliste!$A$2:$G$51,3))</f>
        <v/>
      </c>
      <c r="K17" s="36" t="str">
        <f>IF(H17="-","",VLOOKUP($H17,Sägeliste!$A$2:$G$51,4))</f>
        <v/>
      </c>
      <c r="L17" s="37" t="str">
        <f>IF(H17="-","",VLOOKUP($H17,Sägeliste!$A$2:$G$51,5))</f>
        <v/>
      </c>
      <c r="M17" s="58" t="str">
        <f>IF(H17="-","",VLOOKUP($H17,Sägeliste!$A$2:$G$51,6))</f>
        <v/>
      </c>
      <c r="N17" s="34" t="str">
        <f>IF(H17="-","",VLOOKUP($H17,Sägeliste!$A$2:$G$51,7))</f>
        <v/>
      </c>
      <c r="O17" s="41" t="str">
        <f>IF(H17="-","",VLOOKUP(CONCATENATE(I17,"-",M17,"-L",N17),Gutschrift!B$2:J$51,8,))</f>
        <v/>
      </c>
      <c r="P17" s="41">
        <f t="shared" si="1"/>
        <v>0</v>
      </c>
    </row>
    <row r="18" spans="1:16" x14ac:dyDescent="0.2">
      <c r="A18" s="29">
        <v>17</v>
      </c>
      <c r="B18" s="19"/>
      <c r="C18" s="19"/>
      <c r="D18" s="31"/>
      <c r="E18" s="32"/>
      <c r="F18" s="30" t="str">
        <f>IF(C18="Fichte",LOOKUP(E18,Rindenabzug!D$1:D$3,Rindenabzug!F$1:F$3),
IF(C18="Tanne",LOOKUP(E18,Rindenabzug!D$4:D$7,Rindenabzug!F$4:F$7),
IF(C18="Douglasie",LOOKUP(E18,Rindenabzug!D$8:D$12,Rindenabzug!F$8:F$12),
IF(C18="Buche",LOOKUP(E18,Rindenabzug!D$13:D$14,Rindenabzug!F$13:F$14),
IF(C18="Esche",LOOKUP(E18,Rindenabzug!D$15:D$18,Rindenabzug!F$15:F$18),
IF(C18="Kiefer",LOOKUP(E18,Rindenabzug!D$19:D$22,Rindenabzug!F$19:F$22),
IF(C18="Eiche",LOOKUP(E18,Rindenabzug!D$23:D$27,Rindenabzug!F$23:F$27),
IF(C18="Lärche",LOOKUP(E18,Rindenabzug!D$28:D$32,Rindenabzug!F$28:F$32),"-"))))))))</f>
        <v>-</v>
      </c>
      <c r="G18" s="10" t="str">
        <f t="shared" si="0"/>
        <v>-</v>
      </c>
      <c r="H18" s="34" t="str">
        <f>IF(ISBLANK(C18),"-",SearchBestMatch(C18,D18*100,E18*10,F18*10,Sägeliste!B$2:E$51,H$1:H17))</f>
        <v>-</v>
      </c>
      <c r="I18" s="34" t="str">
        <f>IF(H18="-","",VLOOKUP($H18,Sägeliste!$A$2:$G$51,2))</f>
        <v/>
      </c>
      <c r="J18" s="35" t="str">
        <f>IF(H18="-","",VLOOKUP($H18,Sägeliste!$A$2:$G$51,3))</f>
        <v/>
      </c>
      <c r="K18" s="36" t="str">
        <f>IF(H18="-","",VLOOKUP($H18,Sägeliste!$A$2:$G$51,4))</f>
        <v/>
      </c>
      <c r="L18" s="37" t="str">
        <f>IF(H18="-","",VLOOKUP($H18,Sägeliste!$A$2:$G$51,5))</f>
        <v/>
      </c>
      <c r="M18" s="58" t="str">
        <f>IF(H18="-","",VLOOKUP($H18,Sägeliste!$A$2:$G$51,6))</f>
        <v/>
      </c>
      <c r="N18" s="34" t="str">
        <f>IF(H18="-","",VLOOKUP($H18,Sägeliste!$A$2:$G$51,7))</f>
        <v/>
      </c>
      <c r="O18" s="41" t="str">
        <f>IF(H18="-","",VLOOKUP(CONCATENATE(I18,"-",M18,"-L",N18),Gutschrift!B$2:J$51,8,))</f>
        <v/>
      </c>
      <c r="P18" s="41">
        <f t="shared" si="1"/>
        <v>0</v>
      </c>
    </row>
    <row r="19" spans="1:16" x14ac:dyDescent="0.2">
      <c r="A19" s="29">
        <v>18</v>
      </c>
      <c r="B19" s="19"/>
      <c r="C19" s="19"/>
      <c r="D19" s="31"/>
      <c r="E19" s="32"/>
      <c r="F19" s="30" t="str">
        <f>IF(C19="Fichte",LOOKUP(E19,Rindenabzug!D$1:D$3,Rindenabzug!F$1:F$3),
IF(C19="Tanne",LOOKUP(E19,Rindenabzug!D$4:D$7,Rindenabzug!F$4:F$7),
IF(C19="Douglasie",LOOKUP(E19,Rindenabzug!D$8:D$12,Rindenabzug!F$8:F$12),
IF(C19="Buche",LOOKUP(E19,Rindenabzug!D$13:D$14,Rindenabzug!F$13:F$14),
IF(C19="Esche",LOOKUP(E19,Rindenabzug!D$15:D$18,Rindenabzug!F$15:F$18),
IF(C19="Kiefer",LOOKUP(E19,Rindenabzug!D$19:D$22,Rindenabzug!F$19:F$22),
IF(C19="Eiche",LOOKUP(E19,Rindenabzug!D$23:D$27,Rindenabzug!F$23:F$27),
IF(C19="Lärche",LOOKUP(E19,Rindenabzug!D$28:D$32,Rindenabzug!F$28:F$32),"-"))))))))</f>
        <v>-</v>
      </c>
      <c r="G19" s="10" t="str">
        <f t="shared" si="0"/>
        <v>-</v>
      </c>
      <c r="H19" s="34" t="str">
        <f>IF(ISBLANK(C19),"-",SearchBestMatch(C19,D19*100,E19*10,F19*10,Sägeliste!B$2:E$51,H$1:H18))</f>
        <v>-</v>
      </c>
      <c r="I19" s="34" t="str">
        <f>IF(H19="-","",VLOOKUP($H19,Sägeliste!$A$2:$G$51,2))</f>
        <v/>
      </c>
      <c r="J19" s="35" t="str">
        <f>IF(H19="-","",VLOOKUP($H19,Sägeliste!$A$2:$G$51,3))</f>
        <v/>
      </c>
      <c r="K19" s="36" t="str">
        <f>IF(H19="-","",VLOOKUP($H19,Sägeliste!$A$2:$G$51,4))</f>
        <v/>
      </c>
      <c r="L19" s="37" t="str">
        <f>IF(H19="-","",VLOOKUP($H19,Sägeliste!$A$2:$G$51,5))</f>
        <v/>
      </c>
      <c r="M19" s="58" t="str">
        <f>IF(H19="-","",VLOOKUP($H19,Sägeliste!$A$2:$G$51,6))</f>
        <v/>
      </c>
      <c r="N19" s="34" t="str">
        <f>IF(H19="-","",VLOOKUP($H19,Sägeliste!$A$2:$G$51,7))</f>
        <v/>
      </c>
      <c r="O19" s="41" t="str">
        <f>IF(H19="-","",VLOOKUP(CONCATENATE(I19,"-",M19,"-L",N19),Gutschrift!B$2:J$51,8,))</f>
        <v/>
      </c>
      <c r="P19" s="41">
        <f t="shared" si="1"/>
        <v>0</v>
      </c>
    </row>
    <row r="20" spans="1:16" x14ac:dyDescent="0.2">
      <c r="A20" s="29">
        <v>19</v>
      </c>
      <c r="B20" s="19"/>
      <c r="C20" s="19"/>
      <c r="D20" s="31"/>
      <c r="E20" s="32"/>
      <c r="F20" s="30" t="str">
        <f>IF(C20="Fichte",LOOKUP(E20,Rindenabzug!D$1:D$3,Rindenabzug!F$1:F$3),
IF(C20="Tanne",LOOKUP(E20,Rindenabzug!D$4:D$7,Rindenabzug!F$4:F$7),
IF(C20="Douglasie",LOOKUP(E20,Rindenabzug!D$8:D$12,Rindenabzug!F$8:F$12),
IF(C20="Buche",LOOKUP(E20,Rindenabzug!D$13:D$14,Rindenabzug!F$13:F$14),
IF(C20="Esche",LOOKUP(E20,Rindenabzug!D$15:D$18,Rindenabzug!F$15:F$18),
IF(C20="Kiefer",LOOKUP(E20,Rindenabzug!D$19:D$22,Rindenabzug!F$19:F$22),
IF(C20="Eiche",LOOKUP(E20,Rindenabzug!D$23:D$27,Rindenabzug!F$23:F$27),
IF(C20="Lärche",LOOKUP(E20,Rindenabzug!D$28:D$32,Rindenabzug!F$28:F$32),"-"))))))))</f>
        <v>-</v>
      </c>
      <c r="G20" s="10" t="str">
        <f t="shared" si="0"/>
        <v>-</v>
      </c>
      <c r="H20" s="34" t="str">
        <f>IF(ISBLANK(C20),"-",SearchBestMatch(C20,D20*100,E20*10,F20*10,Sägeliste!B$2:E$51,H$1:H19))</f>
        <v>-</v>
      </c>
      <c r="I20" s="34" t="str">
        <f>IF(H20="-","",VLOOKUP($H20,Sägeliste!$A$2:$G$51,2))</f>
        <v/>
      </c>
      <c r="J20" s="35" t="str">
        <f>IF(H20="-","",VLOOKUP($H20,Sägeliste!$A$2:$G$51,3))</f>
        <v/>
      </c>
      <c r="K20" s="36" t="str">
        <f>IF(H20="-","",VLOOKUP($H20,Sägeliste!$A$2:$G$51,4))</f>
        <v/>
      </c>
      <c r="L20" s="37" t="str">
        <f>IF(H20="-","",VLOOKUP($H20,Sägeliste!$A$2:$G$51,5))</f>
        <v/>
      </c>
      <c r="M20" s="58" t="str">
        <f>IF(H20="-","",VLOOKUP($H20,Sägeliste!$A$2:$G$51,6))</f>
        <v/>
      </c>
      <c r="N20" s="34" t="str">
        <f>IF(H20="-","",VLOOKUP($H20,Sägeliste!$A$2:$G$51,7))</f>
        <v/>
      </c>
      <c r="O20" s="41" t="str">
        <f>IF(H20="-","",VLOOKUP(CONCATENATE(I20,"-",M20,"-L",N20),Gutschrift!B$2:J$51,8,))</f>
        <v/>
      </c>
      <c r="P20" s="41">
        <f t="shared" si="1"/>
        <v>0</v>
      </c>
    </row>
    <row r="21" spans="1:16" x14ac:dyDescent="0.2">
      <c r="A21" s="29">
        <v>20</v>
      </c>
      <c r="B21" s="19"/>
      <c r="C21" s="19"/>
      <c r="D21" s="31"/>
      <c r="E21" s="32"/>
      <c r="F21" s="30" t="str">
        <f>IF(C21="Fichte",LOOKUP(E21,Rindenabzug!D$1:D$3,Rindenabzug!F$1:F$3),
IF(C21="Tanne",LOOKUP(E21,Rindenabzug!D$4:D$7,Rindenabzug!F$4:F$7),
IF(C21="Douglasie",LOOKUP(E21,Rindenabzug!D$8:D$12,Rindenabzug!F$8:F$12),
IF(C21="Buche",LOOKUP(E21,Rindenabzug!D$13:D$14,Rindenabzug!F$13:F$14),
IF(C21="Esche",LOOKUP(E21,Rindenabzug!D$15:D$18,Rindenabzug!F$15:F$18),
IF(C21="Kiefer",LOOKUP(E21,Rindenabzug!D$19:D$22,Rindenabzug!F$19:F$22),
IF(C21="Eiche",LOOKUP(E21,Rindenabzug!D$23:D$27,Rindenabzug!F$23:F$27),
IF(C21="Lärche",LOOKUP(E21,Rindenabzug!D$28:D$32,Rindenabzug!F$28:F$32),"-"))))))))</f>
        <v>-</v>
      </c>
      <c r="G21" s="10" t="str">
        <f t="shared" si="0"/>
        <v>-</v>
      </c>
      <c r="H21" s="34" t="str">
        <f>IF(ISBLANK(C21),"-",SearchBestMatch(C21,D21*100,E21*10,F21*10,Sägeliste!B$2:E$51,H$1:H20))</f>
        <v>-</v>
      </c>
      <c r="I21" s="34" t="str">
        <f>IF(H21="-","",VLOOKUP($H21,Sägeliste!$A$2:$G$51,2))</f>
        <v/>
      </c>
      <c r="J21" s="35" t="str">
        <f>IF(H21="-","",VLOOKUP($H21,Sägeliste!$A$2:$G$51,3))</f>
        <v/>
      </c>
      <c r="K21" s="36" t="str">
        <f>IF(H21="-","",VLOOKUP($H21,Sägeliste!$A$2:$G$51,4))</f>
        <v/>
      </c>
      <c r="L21" s="37" t="str">
        <f>IF(H21="-","",VLOOKUP($H21,Sägeliste!$A$2:$G$51,5))</f>
        <v/>
      </c>
      <c r="M21" s="58" t="str">
        <f>IF(H21="-","",VLOOKUP($H21,Sägeliste!$A$2:$G$51,6))</f>
        <v/>
      </c>
      <c r="N21" s="34" t="str">
        <f>IF(H21="-","",VLOOKUP($H21,Sägeliste!$A$2:$G$51,7))</f>
        <v/>
      </c>
      <c r="O21" s="41" t="str">
        <f>IF(H21="-","",VLOOKUP(CONCATENATE(I21,"-",M21,"-L",N21),Gutschrift!B$2:J$51,8,))</f>
        <v/>
      </c>
      <c r="P21" s="41">
        <f t="shared" si="1"/>
        <v>0</v>
      </c>
    </row>
    <row r="22" spans="1:16" x14ac:dyDescent="0.2">
      <c r="A22" s="29">
        <v>21</v>
      </c>
      <c r="B22" s="19"/>
      <c r="C22" s="19"/>
      <c r="D22" s="31"/>
      <c r="E22" s="32"/>
      <c r="F22" s="30" t="str">
        <f>IF(C22="Fichte",LOOKUP(E22,Rindenabzug!D$1:D$3,Rindenabzug!F$1:F$3),
IF(C22="Tanne",LOOKUP(E22,Rindenabzug!D$4:D$7,Rindenabzug!F$4:F$7),
IF(C22="Douglasie",LOOKUP(E22,Rindenabzug!D$8:D$12,Rindenabzug!F$8:F$12),
IF(C22="Buche",LOOKUP(E22,Rindenabzug!D$13:D$14,Rindenabzug!F$13:F$14),
IF(C22="Esche",LOOKUP(E22,Rindenabzug!D$15:D$18,Rindenabzug!F$15:F$18),
IF(C22="Kiefer",LOOKUP(E22,Rindenabzug!D$19:D$22,Rindenabzug!F$19:F$22),
IF(C22="Eiche",LOOKUP(E22,Rindenabzug!D$23:D$27,Rindenabzug!F$23:F$27),
IF(C22="Lärche",LOOKUP(E22,Rindenabzug!D$28:D$32,Rindenabzug!F$28:F$32),"-"))))))))</f>
        <v>-</v>
      </c>
      <c r="G22" s="10" t="str">
        <f t="shared" si="0"/>
        <v>-</v>
      </c>
      <c r="H22" s="34" t="str">
        <f>IF(ISBLANK(C22),"-",SearchBestMatch(C22,D22*100,E22*10,F22*10,Sägeliste!B$2:E$51,H$1:H21))</f>
        <v>-</v>
      </c>
      <c r="I22" s="34" t="str">
        <f>IF(H22="-","",VLOOKUP($H22,Sägeliste!$A$2:$G$51,2))</f>
        <v/>
      </c>
      <c r="J22" s="35" t="str">
        <f>IF(H22="-","",VLOOKUP($H22,Sägeliste!$A$2:$G$51,3))</f>
        <v/>
      </c>
      <c r="K22" s="36" t="str">
        <f>IF(H22="-","",VLOOKUP($H22,Sägeliste!$A$2:$G$51,4))</f>
        <v/>
      </c>
      <c r="L22" s="37" t="str">
        <f>IF(H22="-","",VLOOKUP($H22,Sägeliste!$A$2:$G$51,5))</f>
        <v/>
      </c>
      <c r="M22" s="58" t="str">
        <f>IF(H22="-","",VLOOKUP($H22,Sägeliste!$A$2:$G$51,6))</f>
        <v/>
      </c>
      <c r="N22" s="34" t="str">
        <f>IF(H22="-","",VLOOKUP($H22,Sägeliste!$A$2:$G$51,7))</f>
        <v/>
      </c>
      <c r="O22" s="41" t="str">
        <f>IF(H22="-","",VLOOKUP(CONCATENATE(I22,"-",M22,"-L",N22),Gutschrift!B$2:J$51,8,))</f>
        <v/>
      </c>
      <c r="P22" s="41">
        <f t="shared" si="1"/>
        <v>0</v>
      </c>
    </row>
    <row r="23" spans="1:16" x14ac:dyDescent="0.2">
      <c r="A23" s="29">
        <v>22</v>
      </c>
      <c r="B23" s="19"/>
      <c r="C23" s="19"/>
      <c r="D23" s="31"/>
      <c r="E23" s="32"/>
      <c r="F23" s="30" t="str">
        <f>IF(C23="Fichte",LOOKUP(E23,Rindenabzug!D$1:D$3,Rindenabzug!F$1:F$3),
IF(C23="Tanne",LOOKUP(E23,Rindenabzug!D$4:D$7,Rindenabzug!F$4:F$7),
IF(C23="Douglasie",LOOKUP(E23,Rindenabzug!D$8:D$12,Rindenabzug!F$8:F$12),
IF(C23="Buche",LOOKUP(E23,Rindenabzug!D$13:D$14,Rindenabzug!F$13:F$14),
IF(C23="Esche",LOOKUP(E23,Rindenabzug!D$15:D$18,Rindenabzug!F$15:F$18),
IF(C23="Kiefer",LOOKUP(E23,Rindenabzug!D$19:D$22,Rindenabzug!F$19:F$22),
IF(C23="Eiche",LOOKUP(E23,Rindenabzug!D$23:D$27,Rindenabzug!F$23:F$27),
IF(C23="Lärche",LOOKUP(E23,Rindenabzug!D$28:D$32,Rindenabzug!F$28:F$32),"-"))))))))</f>
        <v>-</v>
      </c>
      <c r="G23" s="10" t="str">
        <f t="shared" si="0"/>
        <v>-</v>
      </c>
      <c r="H23" s="34" t="str">
        <f>IF(ISBLANK(C23),"-",SearchBestMatch(C23,D23*100,E23*10,F23*10,Sägeliste!B$2:E$51,H$1:H22))</f>
        <v>-</v>
      </c>
      <c r="I23" s="34" t="str">
        <f>IF(H23="-","",VLOOKUP($H23,Sägeliste!$A$2:$G$51,2))</f>
        <v/>
      </c>
      <c r="J23" s="35" t="str">
        <f>IF(H23="-","",VLOOKUP($H23,Sägeliste!$A$2:$G$51,3))</f>
        <v/>
      </c>
      <c r="K23" s="36" t="str">
        <f>IF(H23="-","",VLOOKUP($H23,Sägeliste!$A$2:$G$51,4))</f>
        <v/>
      </c>
      <c r="L23" s="37" t="str">
        <f>IF(H23="-","",VLOOKUP($H23,Sägeliste!$A$2:$G$51,5))</f>
        <v/>
      </c>
      <c r="M23" s="58" t="str">
        <f>IF(H23="-","",VLOOKUP($H23,Sägeliste!$A$2:$G$51,6))</f>
        <v/>
      </c>
      <c r="N23" s="34" t="str">
        <f>IF(H23="-","",VLOOKUP($H23,Sägeliste!$A$2:$G$51,7))</f>
        <v/>
      </c>
      <c r="O23" s="41" t="str">
        <f>IF(H23="-","",VLOOKUP(CONCATENATE(I23,"-",M23,"-L",N23),Gutschrift!B$2:J$51,8,))</f>
        <v/>
      </c>
      <c r="P23" s="41">
        <f t="shared" si="1"/>
        <v>0</v>
      </c>
    </row>
    <row r="24" spans="1:16" x14ac:dyDescent="0.2">
      <c r="A24" s="29">
        <v>23</v>
      </c>
      <c r="B24" s="19"/>
      <c r="C24" s="19"/>
      <c r="D24" s="31"/>
      <c r="E24" s="32"/>
      <c r="F24" s="30" t="str">
        <f>IF(C24="Fichte",LOOKUP(E24,Rindenabzug!D$1:D$3,Rindenabzug!F$1:F$3),
IF(C24="Tanne",LOOKUP(E24,Rindenabzug!D$4:D$7,Rindenabzug!F$4:F$7),
IF(C24="Douglasie",LOOKUP(E24,Rindenabzug!D$8:D$12,Rindenabzug!F$8:F$12),
IF(C24="Buche",LOOKUP(E24,Rindenabzug!D$13:D$14,Rindenabzug!F$13:F$14),
IF(C24="Esche",LOOKUP(E24,Rindenabzug!D$15:D$18,Rindenabzug!F$15:F$18),
IF(C24="Kiefer",LOOKUP(E24,Rindenabzug!D$19:D$22,Rindenabzug!F$19:F$22),
IF(C24="Eiche",LOOKUP(E24,Rindenabzug!D$23:D$27,Rindenabzug!F$23:F$27),
IF(C24="Lärche",LOOKUP(E24,Rindenabzug!D$28:D$32,Rindenabzug!F$28:F$32),"-"))))))))</f>
        <v>-</v>
      </c>
      <c r="G24" s="10" t="str">
        <f t="shared" si="0"/>
        <v>-</v>
      </c>
      <c r="H24" s="34" t="str">
        <f>IF(ISBLANK(C24),"-",SearchBestMatch(C24,D24*100,E24*10,F24*10,Sägeliste!B$2:E$51,H$1:H23))</f>
        <v>-</v>
      </c>
      <c r="I24" s="34" t="str">
        <f>IF(H24="-","",VLOOKUP($H24,Sägeliste!$A$2:$G$51,2))</f>
        <v/>
      </c>
      <c r="J24" s="35" t="str">
        <f>IF(H24="-","",VLOOKUP($H24,Sägeliste!$A$2:$G$51,3))</f>
        <v/>
      </c>
      <c r="K24" s="36" t="str">
        <f>IF(H24="-","",VLOOKUP($H24,Sägeliste!$A$2:$G$51,4))</f>
        <v/>
      </c>
      <c r="L24" s="37" t="str">
        <f>IF(H24="-","",VLOOKUP($H24,Sägeliste!$A$2:$G$51,5))</f>
        <v/>
      </c>
      <c r="M24" s="58" t="str">
        <f>IF(H24="-","",VLOOKUP($H24,Sägeliste!$A$2:$G$51,6))</f>
        <v/>
      </c>
      <c r="N24" s="34" t="str">
        <f>IF(H24="-","",VLOOKUP($H24,Sägeliste!$A$2:$G$51,7))</f>
        <v/>
      </c>
      <c r="O24" s="41" t="str">
        <f>IF(H24="-","",VLOOKUP(CONCATENATE(I24,"-",M24,"-L",N24),Gutschrift!B$2:J$51,8,))</f>
        <v/>
      </c>
      <c r="P24" s="41">
        <f t="shared" si="1"/>
        <v>0</v>
      </c>
    </row>
    <row r="25" spans="1:16" x14ac:dyDescent="0.2">
      <c r="A25" s="29">
        <v>24</v>
      </c>
      <c r="B25" s="19"/>
      <c r="C25" s="19"/>
      <c r="D25" s="31"/>
      <c r="E25" s="32"/>
      <c r="F25" s="30" t="str">
        <f>IF(C25="Fichte",LOOKUP(E25,Rindenabzug!D$1:D$3,Rindenabzug!F$1:F$3),
IF(C25="Tanne",LOOKUP(E25,Rindenabzug!D$4:D$7,Rindenabzug!F$4:F$7),
IF(C25="Douglasie",LOOKUP(E25,Rindenabzug!D$8:D$12,Rindenabzug!F$8:F$12),
IF(C25="Buche",LOOKUP(E25,Rindenabzug!D$13:D$14,Rindenabzug!F$13:F$14),
IF(C25="Esche",LOOKUP(E25,Rindenabzug!D$15:D$18,Rindenabzug!F$15:F$18),
IF(C25="Kiefer",LOOKUP(E25,Rindenabzug!D$19:D$22,Rindenabzug!F$19:F$22),
IF(C25="Eiche",LOOKUP(E25,Rindenabzug!D$23:D$27,Rindenabzug!F$23:F$27),
IF(C25="Lärche",LOOKUP(E25,Rindenabzug!D$28:D$32,Rindenabzug!F$28:F$32),"-"))))))))</f>
        <v>-</v>
      </c>
      <c r="G25" s="10" t="str">
        <f t="shared" si="0"/>
        <v>-</v>
      </c>
      <c r="H25" s="34" t="str">
        <f>IF(ISBLANK(C25),"-",SearchBestMatch(C25,D25*100,E25*10,F25*10,Sägeliste!B$2:E$51,H$1:H24))</f>
        <v>-</v>
      </c>
      <c r="I25" s="34" t="str">
        <f>IF(H25="-","",VLOOKUP($H25,Sägeliste!$A$2:$G$51,2))</f>
        <v/>
      </c>
      <c r="J25" s="35" t="str">
        <f>IF(H25="-","",VLOOKUP($H25,Sägeliste!$A$2:$G$51,3))</f>
        <v/>
      </c>
      <c r="K25" s="36" t="str">
        <f>IF(H25="-","",VLOOKUP($H25,Sägeliste!$A$2:$G$51,4))</f>
        <v/>
      </c>
      <c r="L25" s="37" t="str">
        <f>IF(H25="-","",VLOOKUP($H25,Sägeliste!$A$2:$G$51,5))</f>
        <v/>
      </c>
      <c r="M25" s="58" t="str">
        <f>IF(H25="-","",VLOOKUP($H25,Sägeliste!$A$2:$G$51,6))</f>
        <v/>
      </c>
      <c r="N25" s="34" t="str">
        <f>IF(H25="-","",VLOOKUP($H25,Sägeliste!$A$2:$G$51,7))</f>
        <v/>
      </c>
      <c r="O25" s="41" t="str">
        <f>IF(H25="-","",VLOOKUP(CONCATENATE(I25,"-",M25,"-L",N25),Gutschrift!B$2:J$51,8,))</f>
        <v/>
      </c>
      <c r="P25" s="41">
        <f t="shared" si="1"/>
        <v>0</v>
      </c>
    </row>
    <row r="26" spans="1:16" x14ac:dyDescent="0.2">
      <c r="A26" s="29">
        <v>25</v>
      </c>
      <c r="B26" s="19"/>
      <c r="C26" s="19"/>
      <c r="D26" s="31"/>
      <c r="E26" s="32"/>
      <c r="F26" s="30" t="str">
        <f>IF(C26="Fichte",LOOKUP(E26,Rindenabzug!D$1:D$3,Rindenabzug!F$1:F$3),
IF(C26="Tanne",LOOKUP(E26,Rindenabzug!D$4:D$7,Rindenabzug!F$4:F$7),
IF(C26="Douglasie",LOOKUP(E26,Rindenabzug!D$8:D$12,Rindenabzug!F$8:F$12),
IF(C26="Buche",LOOKUP(E26,Rindenabzug!D$13:D$14,Rindenabzug!F$13:F$14),
IF(C26="Esche",LOOKUP(E26,Rindenabzug!D$15:D$18,Rindenabzug!F$15:F$18),
IF(C26="Kiefer",LOOKUP(E26,Rindenabzug!D$19:D$22,Rindenabzug!F$19:F$22),
IF(C26="Eiche",LOOKUP(E26,Rindenabzug!D$23:D$27,Rindenabzug!F$23:F$27),
IF(C26="Lärche",LOOKUP(E26,Rindenabzug!D$28:D$32,Rindenabzug!F$28:F$32),"-"))))))))</f>
        <v>-</v>
      </c>
      <c r="G26" s="10" t="str">
        <f t="shared" si="0"/>
        <v>-</v>
      </c>
      <c r="H26" s="34" t="str">
        <f>IF(ISBLANK(C26),"-",SearchBestMatch(C26,D26*100,E26*10,F26*10,Sägeliste!B$2:E$51,H$1:H25))</f>
        <v>-</v>
      </c>
      <c r="I26" s="34" t="str">
        <f>IF(H26="-","",VLOOKUP($H26,Sägeliste!$A$2:$G$51,2))</f>
        <v/>
      </c>
      <c r="J26" s="35" t="str">
        <f>IF(H26="-","",VLOOKUP($H26,Sägeliste!$A$2:$G$51,3))</f>
        <v/>
      </c>
      <c r="K26" s="36" t="str">
        <f>IF(H26="-","",VLOOKUP($H26,Sägeliste!$A$2:$G$51,4))</f>
        <v/>
      </c>
      <c r="L26" s="37" t="str">
        <f>IF(H26="-","",VLOOKUP($H26,Sägeliste!$A$2:$G$51,5))</f>
        <v/>
      </c>
      <c r="M26" s="58" t="str">
        <f>IF(H26="-","",VLOOKUP($H26,Sägeliste!$A$2:$G$51,6))</f>
        <v/>
      </c>
      <c r="N26" s="34" t="str">
        <f>IF(H26="-","",VLOOKUP($H26,Sägeliste!$A$2:$G$51,7))</f>
        <v/>
      </c>
      <c r="O26" s="41" t="str">
        <f>IF(H26="-","",VLOOKUP(CONCATENATE(I26,"-",M26,"-L",N26),Gutschrift!B$2:J$51,8,))</f>
        <v/>
      </c>
      <c r="P26" s="41">
        <f t="shared" si="1"/>
        <v>0</v>
      </c>
    </row>
    <row r="27" spans="1:16" x14ac:dyDescent="0.2">
      <c r="A27" s="29">
        <v>26</v>
      </c>
      <c r="B27" s="19"/>
      <c r="C27" s="19"/>
      <c r="D27" s="31"/>
      <c r="E27" s="32"/>
      <c r="F27" s="30" t="str">
        <f>IF(C27="Fichte",LOOKUP(E27,Rindenabzug!D$1:D$3,Rindenabzug!F$1:F$3),
IF(C27="Tanne",LOOKUP(E27,Rindenabzug!D$4:D$7,Rindenabzug!F$4:F$7),
IF(C27="Douglasie",LOOKUP(E27,Rindenabzug!D$8:D$12,Rindenabzug!F$8:F$12),
IF(C27="Buche",LOOKUP(E27,Rindenabzug!D$13:D$14,Rindenabzug!F$13:F$14),
IF(C27="Esche",LOOKUP(E27,Rindenabzug!D$15:D$18,Rindenabzug!F$15:F$18),
IF(C27="Kiefer",LOOKUP(E27,Rindenabzug!D$19:D$22,Rindenabzug!F$19:F$22),
IF(C27="Eiche",LOOKUP(E27,Rindenabzug!D$23:D$27,Rindenabzug!F$23:F$27),
IF(C27="Lärche",LOOKUP(E27,Rindenabzug!D$28:D$32,Rindenabzug!F$28:F$32),"-"))))))))</f>
        <v>-</v>
      </c>
      <c r="G27" s="10" t="str">
        <f t="shared" si="0"/>
        <v>-</v>
      </c>
      <c r="H27" s="34" t="str">
        <f>IF(ISBLANK(C27),"-",SearchBestMatch(C27,D27*100,E27*10,F27*10,Sägeliste!B$2:E$51,H$1:H26))</f>
        <v>-</v>
      </c>
      <c r="I27" s="34" t="str">
        <f>IF(H27="-","",VLOOKUP($H27,Sägeliste!$A$2:$G$51,2))</f>
        <v/>
      </c>
      <c r="J27" s="35" t="str">
        <f>IF(H27="-","",VLOOKUP($H27,Sägeliste!$A$2:$G$51,3))</f>
        <v/>
      </c>
      <c r="K27" s="36" t="str">
        <f>IF(H27="-","",VLOOKUP($H27,Sägeliste!$A$2:$G$51,4))</f>
        <v/>
      </c>
      <c r="L27" s="37" t="str">
        <f>IF(H27="-","",VLOOKUP($H27,Sägeliste!$A$2:$G$51,5))</f>
        <v/>
      </c>
      <c r="M27" s="58" t="str">
        <f>IF(H27="-","",VLOOKUP($H27,Sägeliste!$A$2:$G$51,6))</f>
        <v/>
      </c>
      <c r="N27" s="34" t="str">
        <f>IF(H27="-","",VLOOKUP($H27,Sägeliste!$A$2:$G$51,7))</f>
        <v/>
      </c>
      <c r="O27" s="41" t="str">
        <f>IF(H27="-","",VLOOKUP(CONCATENATE(I27,"-",M27,"-L",N27),Gutschrift!B$2:J$51,8,))</f>
        <v/>
      </c>
      <c r="P27" s="41">
        <f t="shared" si="1"/>
        <v>0</v>
      </c>
    </row>
    <row r="28" spans="1:16" x14ac:dyDescent="0.2">
      <c r="A28" s="29">
        <v>27</v>
      </c>
      <c r="B28" s="19"/>
      <c r="C28" s="19"/>
      <c r="D28" s="31"/>
      <c r="E28" s="32"/>
      <c r="F28" s="30" t="str">
        <f>IF(C28="Fichte",LOOKUP(E28,Rindenabzug!D$1:D$3,Rindenabzug!F$1:F$3),
IF(C28="Tanne",LOOKUP(E28,Rindenabzug!D$4:D$7,Rindenabzug!F$4:F$7),
IF(C28="Douglasie",LOOKUP(E28,Rindenabzug!D$8:D$12,Rindenabzug!F$8:F$12),
IF(C28="Buche",LOOKUP(E28,Rindenabzug!D$13:D$14,Rindenabzug!F$13:F$14),
IF(C28="Esche",LOOKUP(E28,Rindenabzug!D$15:D$18,Rindenabzug!F$15:F$18),
IF(C28="Kiefer",LOOKUP(E28,Rindenabzug!D$19:D$22,Rindenabzug!F$19:F$22),
IF(C28="Eiche",LOOKUP(E28,Rindenabzug!D$23:D$27,Rindenabzug!F$23:F$27),
IF(C28="Lärche",LOOKUP(E28,Rindenabzug!D$28:D$32,Rindenabzug!F$28:F$32),"-"))))))))</f>
        <v>-</v>
      </c>
      <c r="G28" s="10" t="str">
        <f t="shared" si="0"/>
        <v>-</v>
      </c>
      <c r="H28" s="34" t="str">
        <f>IF(ISBLANK(C28),"-",SearchBestMatch(C28,D28*100,E28*10,F28*10,Sägeliste!B$2:E$51,H$1:H27))</f>
        <v>-</v>
      </c>
      <c r="I28" s="34" t="str">
        <f>IF(H28="-","",VLOOKUP($H28,Sägeliste!$A$2:$G$51,2))</f>
        <v/>
      </c>
      <c r="J28" s="35" t="str">
        <f>IF(H28="-","",VLOOKUP($H28,Sägeliste!$A$2:$G$51,3))</f>
        <v/>
      </c>
      <c r="K28" s="36" t="str">
        <f>IF(H28="-","",VLOOKUP($H28,Sägeliste!$A$2:$G$51,4))</f>
        <v/>
      </c>
      <c r="L28" s="37" t="str">
        <f>IF(H28="-","",VLOOKUP($H28,Sägeliste!$A$2:$G$51,5))</f>
        <v/>
      </c>
      <c r="M28" s="58" t="str">
        <f>IF(H28="-","",VLOOKUP($H28,Sägeliste!$A$2:$G$51,6))</f>
        <v/>
      </c>
      <c r="N28" s="34" t="str">
        <f>IF(H28="-","",VLOOKUP($H28,Sägeliste!$A$2:$G$51,7))</f>
        <v/>
      </c>
      <c r="O28" s="41" t="str">
        <f>IF(H28="-","",VLOOKUP(CONCATENATE(I28,"-",M28,"-L",N28),Gutschrift!B$2:J$51,8,))</f>
        <v/>
      </c>
      <c r="P28" s="41">
        <f t="shared" si="1"/>
        <v>0</v>
      </c>
    </row>
    <row r="29" spans="1:16" x14ac:dyDescent="0.2">
      <c r="A29" s="29">
        <v>28</v>
      </c>
      <c r="B29" s="19"/>
      <c r="C29" s="19"/>
      <c r="D29" s="31"/>
      <c r="E29" s="32"/>
      <c r="F29" s="30" t="str">
        <f>IF(C29="Fichte",LOOKUP(E29,Rindenabzug!D$1:D$3,Rindenabzug!F$1:F$3),
IF(C29="Tanne",LOOKUP(E29,Rindenabzug!D$4:D$7,Rindenabzug!F$4:F$7),
IF(C29="Douglasie",LOOKUP(E29,Rindenabzug!D$8:D$12,Rindenabzug!F$8:F$12),
IF(C29="Buche",LOOKUP(E29,Rindenabzug!D$13:D$14,Rindenabzug!F$13:F$14),
IF(C29="Esche",LOOKUP(E29,Rindenabzug!D$15:D$18,Rindenabzug!F$15:F$18),
IF(C29="Kiefer",LOOKUP(E29,Rindenabzug!D$19:D$22,Rindenabzug!F$19:F$22),
IF(C29="Eiche",LOOKUP(E29,Rindenabzug!D$23:D$27,Rindenabzug!F$23:F$27),
IF(C29="Lärche",LOOKUP(E29,Rindenabzug!D$28:D$32,Rindenabzug!F$28:F$32),"-"))))))))</f>
        <v>-</v>
      </c>
      <c r="G29" s="10" t="str">
        <f t="shared" si="0"/>
        <v>-</v>
      </c>
      <c r="H29" s="34" t="str">
        <f>IF(ISBLANK(C29),"-",SearchBestMatch(C29,D29*100,E29*10,F29*10,Sägeliste!B$2:E$51,H$1:H28))</f>
        <v>-</v>
      </c>
      <c r="I29" s="34" t="str">
        <f>IF(H29="-","",VLOOKUP($H29,Sägeliste!$A$2:$G$51,2))</f>
        <v/>
      </c>
      <c r="J29" s="35" t="str">
        <f>IF(H29="-","",VLOOKUP($H29,Sägeliste!$A$2:$G$51,3))</f>
        <v/>
      </c>
      <c r="K29" s="36" t="str">
        <f>IF(H29="-","",VLOOKUP($H29,Sägeliste!$A$2:$G$51,4))</f>
        <v/>
      </c>
      <c r="L29" s="37" t="str">
        <f>IF(H29="-","",VLOOKUP($H29,Sägeliste!$A$2:$G$51,5))</f>
        <v/>
      </c>
      <c r="M29" s="58" t="str">
        <f>IF(H29="-","",VLOOKUP($H29,Sägeliste!$A$2:$G$51,6))</f>
        <v/>
      </c>
      <c r="N29" s="34" t="str">
        <f>IF(H29="-","",VLOOKUP($H29,Sägeliste!$A$2:$G$51,7))</f>
        <v/>
      </c>
      <c r="O29" s="41" t="str">
        <f>IF(H29="-","",VLOOKUP(CONCATENATE(I29,"-",M29,"-L",N29),Gutschrift!B$2:J$51,8,))</f>
        <v/>
      </c>
      <c r="P29" s="41">
        <f t="shared" si="1"/>
        <v>0</v>
      </c>
    </row>
    <row r="30" spans="1:16" x14ac:dyDescent="0.2">
      <c r="A30" s="29">
        <v>29</v>
      </c>
      <c r="B30" s="19"/>
      <c r="C30" s="19"/>
      <c r="D30" s="31"/>
      <c r="E30" s="32"/>
      <c r="F30" s="30" t="str">
        <f>IF(C30="Fichte",LOOKUP(E30,Rindenabzug!D$1:D$3,Rindenabzug!F$1:F$3),
IF(C30="Tanne",LOOKUP(E30,Rindenabzug!D$4:D$7,Rindenabzug!F$4:F$7),
IF(C30="Douglasie",LOOKUP(E30,Rindenabzug!D$8:D$12,Rindenabzug!F$8:F$12),
IF(C30="Buche",LOOKUP(E30,Rindenabzug!D$13:D$14,Rindenabzug!F$13:F$14),
IF(C30="Esche",LOOKUP(E30,Rindenabzug!D$15:D$18,Rindenabzug!F$15:F$18),
IF(C30="Kiefer",LOOKUP(E30,Rindenabzug!D$19:D$22,Rindenabzug!F$19:F$22),
IF(C30="Eiche",LOOKUP(E30,Rindenabzug!D$23:D$27,Rindenabzug!F$23:F$27),
IF(C30="Lärche",LOOKUP(E30,Rindenabzug!D$28:D$32,Rindenabzug!F$28:F$32),"-"))))))))</f>
        <v>-</v>
      </c>
      <c r="G30" s="10" t="str">
        <f t="shared" si="0"/>
        <v>-</v>
      </c>
      <c r="H30" s="34" t="str">
        <f>IF(ISBLANK(C30),"-",SearchBestMatch(C30,D30*100,E30*10,F30*10,Sägeliste!B$2:E$51,H$1:H29))</f>
        <v>-</v>
      </c>
      <c r="I30" s="34" t="str">
        <f>IF(H30="-","",VLOOKUP($H30,Sägeliste!$A$2:$G$51,2))</f>
        <v/>
      </c>
      <c r="J30" s="35" t="str">
        <f>IF(H30="-","",VLOOKUP($H30,Sägeliste!$A$2:$G$51,3))</f>
        <v/>
      </c>
      <c r="K30" s="36" t="str">
        <f>IF(H30="-","",VLOOKUP($H30,Sägeliste!$A$2:$G$51,4))</f>
        <v/>
      </c>
      <c r="L30" s="37" t="str">
        <f>IF(H30="-","",VLOOKUP($H30,Sägeliste!$A$2:$G$51,5))</f>
        <v/>
      </c>
      <c r="M30" s="58" t="str">
        <f>IF(H30="-","",VLOOKUP($H30,Sägeliste!$A$2:$G$51,6))</f>
        <v/>
      </c>
      <c r="N30" s="34" t="str">
        <f>IF(H30="-","",VLOOKUP($H30,Sägeliste!$A$2:$G$51,7))</f>
        <v/>
      </c>
      <c r="O30" s="41" t="str">
        <f>IF(H30="-","",VLOOKUP(CONCATENATE(I30,"-",M30,"-L",N30),Gutschrift!B$2:J$51,8,))</f>
        <v/>
      </c>
      <c r="P30" s="41">
        <f t="shared" si="1"/>
        <v>0</v>
      </c>
    </row>
    <row r="31" spans="1:16" x14ac:dyDescent="0.2">
      <c r="A31" s="29">
        <v>30</v>
      </c>
      <c r="B31" s="19"/>
      <c r="C31" s="19"/>
      <c r="D31" s="31"/>
      <c r="E31" s="32"/>
      <c r="F31" s="30" t="str">
        <f>IF(C31="Fichte",LOOKUP(E31,Rindenabzug!D$1:D$3,Rindenabzug!F$1:F$3),
IF(C31="Tanne",LOOKUP(E31,Rindenabzug!D$4:D$7,Rindenabzug!F$4:F$7),
IF(C31="Douglasie",LOOKUP(E31,Rindenabzug!D$8:D$12,Rindenabzug!F$8:F$12),
IF(C31="Buche",LOOKUP(E31,Rindenabzug!D$13:D$14,Rindenabzug!F$13:F$14),
IF(C31="Esche",LOOKUP(E31,Rindenabzug!D$15:D$18,Rindenabzug!F$15:F$18),
IF(C31="Kiefer",LOOKUP(E31,Rindenabzug!D$19:D$22,Rindenabzug!F$19:F$22),
IF(C31="Eiche",LOOKUP(E31,Rindenabzug!D$23:D$27,Rindenabzug!F$23:F$27),
IF(C31="Lärche",LOOKUP(E31,Rindenabzug!D$28:D$32,Rindenabzug!F$28:F$32),"-"))))))))</f>
        <v>-</v>
      </c>
      <c r="G31" s="10" t="str">
        <f t="shared" si="0"/>
        <v>-</v>
      </c>
      <c r="H31" s="34" t="str">
        <f>IF(ISBLANK(C31),"-",SearchBestMatch(C31,D31*100,E31*10,F31*10,Sägeliste!B$2:E$51,H$1:H30))</f>
        <v>-</v>
      </c>
      <c r="I31" s="34" t="str">
        <f>IF(H31="-","",VLOOKUP($H31,Sägeliste!$A$2:$G$51,2))</f>
        <v/>
      </c>
      <c r="J31" s="35" t="str">
        <f>IF(H31="-","",VLOOKUP($H31,Sägeliste!$A$2:$G$51,3))</f>
        <v/>
      </c>
      <c r="K31" s="36" t="str">
        <f>IF(H31="-","",VLOOKUP($H31,Sägeliste!$A$2:$G$51,4))</f>
        <v/>
      </c>
      <c r="L31" s="37" t="str">
        <f>IF(H31="-","",VLOOKUP($H31,Sägeliste!$A$2:$G$51,5))</f>
        <v/>
      </c>
      <c r="M31" s="58" t="str">
        <f>IF(H31="-","",VLOOKUP($H31,Sägeliste!$A$2:$G$51,6))</f>
        <v/>
      </c>
      <c r="N31" s="34" t="str">
        <f>IF(H31="-","",VLOOKUP($H31,Sägeliste!$A$2:$G$51,7))</f>
        <v/>
      </c>
      <c r="O31" s="41" t="str">
        <f>IF(H31="-","",VLOOKUP(CONCATENATE(I31,"-",M31,"-L",N31),Gutschrift!B$2:J$51,8,))</f>
        <v/>
      </c>
      <c r="P31" s="41">
        <f t="shared" si="1"/>
        <v>0</v>
      </c>
    </row>
    <row r="32" spans="1:16" x14ac:dyDescent="0.2">
      <c r="A32" s="29">
        <v>31</v>
      </c>
      <c r="B32" s="19"/>
      <c r="C32" s="19"/>
      <c r="D32" s="31"/>
      <c r="E32" s="32"/>
      <c r="F32" s="30" t="str">
        <f>IF(C32="Fichte",LOOKUP(E32,Rindenabzug!D$1:D$3,Rindenabzug!F$1:F$3),
IF(C32="Tanne",LOOKUP(E32,Rindenabzug!D$4:D$7,Rindenabzug!F$4:F$7),
IF(C32="Douglasie",LOOKUP(E32,Rindenabzug!D$8:D$12,Rindenabzug!F$8:F$12),
IF(C32="Buche",LOOKUP(E32,Rindenabzug!D$13:D$14,Rindenabzug!F$13:F$14),
IF(C32="Esche",LOOKUP(E32,Rindenabzug!D$15:D$18,Rindenabzug!F$15:F$18),
IF(C32="Kiefer",LOOKUP(E32,Rindenabzug!D$19:D$22,Rindenabzug!F$19:F$22),
IF(C32="Eiche",LOOKUP(E32,Rindenabzug!D$23:D$27,Rindenabzug!F$23:F$27),
IF(C32="Lärche",LOOKUP(E32,Rindenabzug!D$28:D$32,Rindenabzug!F$28:F$32),"-"))))))))</f>
        <v>-</v>
      </c>
      <c r="G32" s="10" t="str">
        <f t="shared" si="0"/>
        <v>-</v>
      </c>
      <c r="H32" s="34" t="str">
        <f>IF(ISBLANK(C32),"-",SearchBestMatch(C32,D32*100,E32*10,F32*10,Sägeliste!B$2:E$51,H$1:H31))</f>
        <v>-</v>
      </c>
      <c r="I32" s="34" t="str">
        <f>IF(H32="-","",VLOOKUP($H32,Sägeliste!$A$2:$G$51,2))</f>
        <v/>
      </c>
      <c r="J32" s="35" t="str">
        <f>IF(H32="-","",VLOOKUP($H32,Sägeliste!$A$2:$G$51,3))</f>
        <v/>
      </c>
      <c r="K32" s="36" t="str">
        <f>IF(H32="-","",VLOOKUP($H32,Sägeliste!$A$2:$G$51,4))</f>
        <v/>
      </c>
      <c r="L32" s="37" t="str">
        <f>IF(H32="-","",VLOOKUP($H32,Sägeliste!$A$2:$G$51,5))</f>
        <v/>
      </c>
      <c r="M32" s="58" t="str">
        <f>IF(H32="-","",VLOOKUP($H32,Sägeliste!$A$2:$G$51,6))</f>
        <v/>
      </c>
      <c r="N32" s="34" t="str">
        <f>IF(H32="-","",VLOOKUP($H32,Sägeliste!$A$2:$G$51,7))</f>
        <v/>
      </c>
      <c r="O32" s="41" t="str">
        <f>IF(H32="-","",VLOOKUP(CONCATENATE(I32,"-",M32,"-L",N32),Gutschrift!B$2:J$51,8,))</f>
        <v/>
      </c>
      <c r="P32" s="41">
        <f t="shared" si="1"/>
        <v>0</v>
      </c>
    </row>
    <row r="33" spans="1:16" x14ac:dyDescent="0.2">
      <c r="A33" s="29">
        <v>32</v>
      </c>
      <c r="B33" s="19"/>
      <c r="C33" s="19"/>
      <c r="D33" s="31"/>
      <c r="E33" s="32"/>
      <c r="F33" s="30" t="str">
        <f>IF(C33="Fichte",LOOKUP(E33,Rindenabzug!D$1:D$3,Rindenabzug!F$1:F$3),
IF(C33="Tanne",LOOKUP(E33,Rindenabzug!D$4:D$7,Rindenabzug!F$4:F$7),
IF(C33="Douglasie",LOOKUP(E33,Rindenabzug!D$8:D$12,Rindenabzug!F$8:F$12),
IF(C33="Buche",LOOKUP(E33,Rindenabzug!D$13:D$14,Rindenabzug!F$13:F$14),
IF(C33="Esche",LOOKUP(E33,Rindenabzug!D$15:D$18,Rindenabzug!F$15:F$18),
IF(C33="Kiefer",LOOKUP(E33,Rindenabzug!D$19:D$22,Rindenabzug!F$19:F$22),
IF(C33="Eiche",LOOKUP(E33,Rindenabzug!D$23:D$27,Rindenabzug!F$23:F$27),
IF(C33="Lärche",LOOKUP(E33,Rindenabzug!D$28:D$32,Rindenabzug!F$28:F$32),"-"))))))))</f>
        <v>-</v>
      </c>
      <c r="G33" s="10" t="str">
        <f t="shared" si="0"/>
        <v>-</v>
      </c>
      <c r="H33" s="34" t="str">
        <f>IF(ISBLANK(C33),"-",SearchBestMatch(C33,D33*100,E33*10,F33*10,Sägeliste!B$2:E$51,H$1:H32))</f>
        <v>-</v>
      </c>
      <c r="I33" s="34" t="str">
        <f>IF(H33="-","",VLOOKUP($H33,Sägeliste!$A$2:$G$51,2))</f>
        <v/>
      </c>
      <c r="J33" s="35" t="str">
        <f>IF(H33="-","",VLOOKUP($H33,Sägeliste!$A$2:$G$51,3))</f>
        <v/>
      </c>
      <c r="K33" s="36" t="str">
        <f>IF(H33="-","",VLOOKUP($H33,Sägeliste!$A$2:$G$51,4))</f>
        <v/>
      </c>
      <c r="L33" s="37" t="str">
        <f>IF(H33="-","",VLOOKUP($H33,Sägeliste!$A$2:$G$51,5))</f>
        <v/>
      </c>
      <c r="M33" s="58" t="str">
        <f>IF(H33="-","",VLOOKUP($H33,Sägeliste!$A$2:$G$51,6))</f>
        <v/>
      </c>
      <c r="N33" s="34" t="str">
        <f>IF(H33="-","",VLOOKUP($H33,Sägeliste!$A$2:$G$51,7))</f>
        <v/>
      </c>
      <c r="O33" s="41" t="str">
        <f>IF(H33="-","",VLOOKUP(CONCATENATE(I33,"-",M33,"-L",N33),Gutschrift!B$2:J$51,8,))</f>
        <v/>
      </c>
      <c r="P33" s="41">
        <f t="shared" si="1"/>
        <v>0</v>
      </c>
    </row>
    <row r="34" spans="1:16" x14ac:dyDescent="0.2">
      <c r="A34" s="29">
        <v>33</v>
      </c>
      <c r="B34" s="19"/>
      <c r="C34" s="19"/>
      <c r="D34" s="31"/>
      <c r="E34" s="32"/>
      <c r="F34" s="30" t="str">
        <f>IF(C34="Fichte",LOOKUP(E34,Rindenabzug!D$1:D$3,Rindenabzug!F$1:F$3),
IF(C34="Tanne",LOOKUP(E34,Rindenabzug!D$4:D$7,Rindenabzug!F$4:F$7),
IF(C34="Douglasie",LOOKUP(E34,Rindenabzug!D$8:D$12,Rindenabzug!F$8:F$12),
IF(C34="Buche",LOOKUP(E34,Rindenabzug!D$13:D$14,Rindenabzug!F$13:F$14),
IF(C34="Esche",LOOKUP(E34,Rindenabzug!D$15:D$18,Rindenabzug!F$15:F$18),
IF(C34="Kiefer",LOOKUP(E34,Rindenabzug!D$19:D$22,Rindenabzug!F$19:F$22),
IF(C34="Eiche",LOOKUP(E34,Rindenabzug!D$23:D$27,Rindenabzug!F$23:F$27),
IF(C34="Lärche",LOOKUP(E34,Rindenabzug!D$28:D$32,Rindenabzug!F$28:F$32),"-"))))))))</f>
        <v>-</v>
      </c>
      <c r="G34" s="10" t="str">
        <f t="shared" si="0"/>
        <v>-</v>
      </c>
      <c r="H34" s="34" t="str">
        <f>IF(ISBLANK(C34),"-",SearchBestMatch(C34,D34*100,E34*10,F34*10,Sägeliste!B$2:E$51,H$1:H33))</f>
        <v>-</v>
      </c>
      <c r="I34" s="34" t="str">
        <f>IF(H34="-","",VLOOKUP($H34,Sägeliste!$A$2:$G$51,2))</f>
        <v/>
      </c>
      <c r="J34" s="35" t="str">
        <f>IF(H34="-","",VLOOKUP($H34,Sägeliste!$A$2:$G$51,3))</f>
        <v/>
      </c>
      <c r="K34" s="36" t="str">
        <f>IF(H34="-","",VLOOKUP($H34,Sägeliste!$A$2:$G$51,4))</f>
        <v/>
      </c>
      <c r="L34" s="37" t="str">
        <f>IF(H34="-","",VLOOKUP($H34,Sägeliste!$A$2:$G$51,5))</f>
        <v/>
      </c>
      <c r="M34" s="58" t="str">
        <f>IF(H34="-","",VLOOKUP($H34,Sägeliste!$A$2:$G$51,6))</f>
        <v/>
      </c>
      <c r="N34" s="34" t="str">
        <f>IF(H34="-","",VLOOKUP($H34,Sägeliste!$A$2:$G$51,7))</f>
        <v/>
      </c>
      <c r="O34" s="41" t="str">
        <f>IF(H34="-","",VLOOKUP(CONCATENATE(I34,"-",M34,"-L",N34),Gutschrift!B$2:J$51,8,))</f>
        <v/>
      </c>
      <c r="P34" s="41">
        <f t="shared" si="1"/>
        <v>0</v>
      </c>
    </row>
    <row r="35" spans="1:16" x14ac:dyDescent="0.2">
      <c r="A35" s="29">
        <v>34</v>
      </c>
      <c r="B35" s="19"/>
      <c r="C35" s="19"/>
      <c r="D35" s="31"/>
      <c r="E35" s="32"/>
      <c r="F35" s="30" t="str">
        <f>IF(C35="Fichte",LOOKUP(E35,Rindenabzug!D$1:D$3,Rindenabzug!F$1:F$3),
IF(C35="Tanne",LOOKUP(E35,Rindenabzug!D$4:D$7,Rindenabzug!F$4:F$7),
IF(C35="Douglasie",LOOKUP(E35,Rindenabzug!D$8:D$12,Rindenabzug!F$8:F$12),
IF(C35="Buche",LOOKUP(E35,Rindenabzug!D$13:D$14,Rindenabzug!F$13:F$14),
IF(C35="Esche",LOOKUP(E35,Rindenabzug!D$15:D$18,Rindenabzug!F$15:F$18),
IF(C35="Kiefer",LOOKUP(E35,Rindenabzug!D$19:D$22,Rindenabzug!F$19:F$22),
IF(C35="Eiche",LOOKUP(E35,Rindenabzug!D$23:D$27,Rindenabzug!F$23:F$27),
IF(C35="Lärche",LOOKUP(E35,Rindenabzug!D$28:D$32,Rindenabzug!F$28:F$32),"-"))))))))</f>
        <v>-</v>
      </c>
      <c r="G35" s="10" t="str">
        <f t="shared" si="0"/>
        <v>-</v>
      </c>
      <c r="H35" s="34" t="str">
        <f>IF(ISBLANK(C35),"-",SearchBestMatch(C35,D35*100,E35*10,F35*10,Sägeliste!B$2:E$51,H$1:H34))</f>
        <v>-</v>
      </c>
      <c r="I35" s="34" t="str">
        <f>IF(H35="-","",VLOOKUP($H35,Sägeliste!$A$2:$G$51,2))</f>
        <v/>
      </c>
      <c r="J35" s="35" t="str">
        <f>IF(H35="-","",VLOOKUP($H35,Sägeliste!$A$2:$G$51,3))</f>
        <v/>
      </c>
      <c r="K35" s="36" t="str">
        <f>IF(H35="-","",VLOOKUP($H35,Sägeliste!$A$2:$G$51,4))</f>
        <v/>
      </c>
      <c r="L35" s="37" t="str">
        <f>IF(H35="-","",VLOOKUP($H35,Sägeliste!$A$2:$G$51,5))</f>
        <v/>
      </c>
      <c r="M35" s="58" t="str">
        <f>IF(H35="-","",VLOOKUP($H35,Sägeliste!$A$2:$G$51,6))</f>
        <v/>
      </c>
      <c r="N35" s="34" t="str">
        <f>IF(H35="-","",VLOOKUP($H35,Sägeliste!$A$2:$G$51,7))</f>
        <v/>
      </c>
      <c r="O35" s="41" t="str">
        <f>IF(H35="-","",VLOOKUP(CONCATENATE(I35,"-",M35,"-L",N35),Gutschrift!B$2:J$51,8,))</f>
        <v/>
      </c>
      <c r="P35" s="41">
        <f t="shared" si="1"/>
        <v>0</v>
      </c>
    </row>
    <row r="36" spans="1:16" x14ac:dyDescent="0.2">
      <c r="A36" s="29">
        <v>35</v>
      </c>
      <c r="B36" s="19"/>
      <c r="C36" s="19"/>
      <c r="D36" s="31"/>
      <c r="E36" s="32"/>
      <c r="F36" s="30" t="str">
        <f>IF(C36="Fichte",LOOKUP(E36,Rindenabzug!D$1:D$3,Rindenabzug!F$1:F$3),
IF(C36="Tanne",LOOKUP(E36,Rindenabzug!D$4:D$7,Rindenabzug!F$4:F$7),
IF(C36="Douglasie",LOOKUP(E36,Rindenabzug!D$8:D$12,Rindenabzug!F$8:F$12),
IF(C36="Buche",LOOKUP(E36,Rindenabzug!D$13:D$14,Rindenabzug!F$13:F$14),
IF(C36="Esche",LOOKUP(E36,Rindenabzug!D$15:D$18,Rindenabzug!F$15:F$18),
IF(C36="Kiefer",LOOKUP(E36,Rindenabzug!D$19:D$22,Rindenabzug!F$19:F$22),
IF(C36="Eiche",LOOKUP(E36,Rindenabzug!D$23:D$27,Rindenabzug!F$23:F$27),
IF(C36="Lärche",LOOKUP(E36,Rindenabzug!D$28:D$32,Rindenabzug!F$28:F$32),"-"))))))))</f>
        <v>-</v>
      </c>
      <c r="G36" s="10" t="str">
        <f t="shared" si="0"/>
        <v>-</v>
      </c>
      <c r="H36" s="34" t="str">
        <f>IF(ISBLANK(C36),"-",SearchBestMatch(C36,D36*100,E36*10,F36*10,Sägeliste!B$2:E$51,H$1:H35))</f>
        <v>-</v>
      </c>
      <c r="I36" s="34" t="str">
        <f>IF(H36="-","",VLOOKUP($H36,Sägeliste!$A$2:$G$51,2))</f>
        <v/>
      </c>
      <c r="J36" s="35" t="str">
        <f>IF(H36="-","",VLOOKUP($H36,Sägeliste!$A$2:$G$51,3))</f>
        <v/>
      </c>
      <c r="K36" s="36" t="str">
        <f>IF(H36="-","",VLOOKUP($H36,Sägeliste!$A$2:$G$51,4))</f>
        <v/>
      </c>
      <c r="L36" s="37" t="str">
        <f>IF(H36="-","",VLOOKUP($H36,Sägeliste!$A$2:$G$51,5))</f>
        <v/>
      </c>
      <c r="M36" s="58" t="str">
        <f>IF(H36="-","",VLOOKUP($H36,Sägeliste!$A$2:$G$51,6))</f>
        <v/>
      </c>
      <c r="N36" s="34" t="str">
        <f>IF(H36="-","",VLOOKUP($H36,Sägeliste!$A$2:$G$51,7))</f>
        <v/>
      </c>
      <c r="O36" s="41" t="str">
        <f>IF(H36="-","",VLOOKUP(CONCATENATE(I36,"-",M36,"-L",N36),Gutschrift!B$2:J$51,8,))</f>
        <v/>
      </c>
      <c r="P36" s="41">
        <f t="shared" si="1"/>
        <v>0</v>
      </c>
    </row>
    <row r="37" spans="1:16" x14ac:dyDescent="0.2">
      <c r="A37" s="29">
        <v>36</v>
      </c>
      <c r="B37" s="19"/>
      <c r="C37" s="19"/>
      <c r="D37" s="31"/>
      <c r="E37" s="32"/>
      <c r="F37" s="30" t="str">
        <f>IF(C37="Fichte",LOOKUP(E37,Rindenabzug!D$1:D$3,Rindenabzug!F$1:F$3),
IF(C37="Tanne",LOOKUP(E37,Rindenabzug!D$4:D$7,Rindenabzug!F$4:F$7),
IF(C37="Douglasie",LOOKUP(E37,Rindenabzug!D$8:D$12,Rindenabzug!F$8:F$12),
IF(C37="Buche",LOOKUP(E37,Rindenabzug!D$13:D$14,Rindenabzug!F$13:F$14),
IF(C37="Esche",LOOKUP(E37,Rindenabzug!D$15:D$18,Rindenabzug!F$15:F$18),
IF(C37="Kiefer",LOOKUP(E37,Rindenabzug!D$19:D$22,Rindenabzug!F$19:F$22),
IF(C37="Eiche",LOOKUP(E37,Rindenabzug!D$23:D$27,Rindenabzug!F$23:F$27),
IF(C37="Lärche",LOOKUP(E37,Rindenabzug!D$28:D$32,Rindenabzug!F$28:F$32),"-"))))))))</f>
        <v>-</v>
      </c>
      <c r="G37" s="10" t="str">
        <f t="shared" si="0"/>
        <v>-</v>
      </c>
      <c r="H37" s="34" t="str">
        <f>IF(ISBLANK(C37),"-",SearchBestMatch(C37,D37*100,E37*10,F37*10,Sägeliste!B$2:E$51,H$1:H36))</f>
        <v>-</v>
      </c>
      <c r="I37" s="34" t="str">
        <f>IF(H37="-","",VLOOKUP($H37,Sägeliste!$A$2:$G$51,2))</f>
        <v/>
      </c>
      <c r="J37" s="35" t="str">
        <f>IF(H37="-","",VLOOKUP($H37,Sägeliste!$A$2:$G$51,3))</f>
        <v/>
      </c>
      <c r="K37" s="36" t="str">
        <f>IF(H37="-","",VLOOKUP($H37,Sägeliste!$A$2:$G$51,4))</f>
        <v/>
      </c>
      <c r="L37" s="37" t="str">
        <f>IF(H37="-","",VLOOKUP($H37,Sägeliste!$A$2:$G$51,5))</f>
        <v/>
      </c>
      <c r="M37" s="58" t="str">
        <f>IF(H37="-","",VLOOKUP($H37,Sägeliste!$A$2:$G$51,6))</f>
        <v/>
      </c>
      <c r="N37" s="34" t="str">
        <f>IF(H37="-","",VLOOKUP($H37,Sägeliste!$A$2:$G$51,7))</f>
        <v/>
      </c>
      <c r="O37" s="41" t="str">
        <f>IF(H37="-","",VLOOKUP(CONCATENATE(I37,"-",M37,"-L",N37),Gutschrift!B$2:J$51,8,))</f>
        <v/>
      </c>
      <c r="P37" s="41">
        <f t="shared" si="1"/>
        <v>0</v>
      </c>
    </row>
    <row r="38" spans="1:16" x14ac:dyDescent="0.2">
      <c r="A38" s="29">
        <v>37</v>
      </c>
      <c r="B38" s="19"/>
      <c r="C38" s="19"/>
      <c r="D38" s="31"/>
      <c r="E38" s="32"/>
      <c r="F38" s="30" t="str">
        <f>IF(C38="Fichte",LOOKUP(E38,Rindenabzug!D$1:D$3,Rindenabzug!F$1:F$3),
IF(C38="Tanne",LOOKUP(E38,Rindenabzug!D$4:D$7,Rindenabzug!F$4:F$7),
IF(C38="Douglasie",LOOKUP(E38,Rindenabzug!D$8:D$12,Rindenabzug!F$8:F$12),
IF(C38="Buche",LOOKUP(E38,Rindenabzug!D$13:D$14,Rindenabzug!F$13:F$14),
IF(C38="Esche",LOOKUP(E38,Rindenabzug!D$15:D$18,Rindenabzug!F$15:F$18),
IF(C38="Kiefer",LOOKUP(E38,Rindenabzug!D$19:D$22,Rindenabzug!F$19:F$22),
IF(C38="Eiche",LOOKUP(E38,Rindenabzug!D$23:D$27,Rindenabzug!F$23:F$27),
IF(C38="Lärche",LOOKUP(E38,Rindenabzug!D$28:D$32,Rindenabzug!F$28:F$32),"-"))))))))</f>
        <v>-</v>
      </c>
      <c r="G38" s="10" t="str">
        <f t="shared" si="0"/>
        <v>-</v>
      </c>
      <c r="H38" s="34" t="str">
        <f>IF(ISBLANK(C38),"-",SearchBestMatch(C38,D38*100,E38*10,F38*10,Sägeliste!B$2:E$51,H$1:H37))</f>
        <v>-</v>
      </c>
      <c r="I38" s="34" t="str">
        <f>IF(H38="-","",VLOOKUP($H38,Sägeliste!$A$2:$G$51,2))</f>
        <v/>
      </c>
      <c r="J38" s="35" t="str">
        <f>IF(H38="-","",VLOOKUP($H38,Sägeliste!$A$2:$G$51,3))</f>
        <v/>
      </c>
      <c r="K38" s="36" t="str">
        <f>IF(H38="-","",VLOOKUP($H38,Sägeliste!$A$2:$G$51,4))</f>
        <v/>
      </c>
      <c r="L38" s="37" t="str">
        <f>IF(H38="-","",VLOOKUP($H38,Sägeliste!$A$2:$G$51,5))</f>
        <v/>
      </c>
      <c r="M38" s="58" t="str">
        <f>IF(H38="-","",VLOOKUP($H38,Sägeliste!$A$2:$G$51,6))</f>
        <v/>
      </c>
      <c r="N38" s="34" t="str">
        <f>IF(H38="-","",VLOOKUP($H38,Sägeliste!$A$2:$G$51,7))</f>
        <v/>
      </c>
      <c r="O38" s="41" t="str">
        <f>IF(H38="-","",VLOOKUP(CONCATENATE(I38,"-",M38,"-L",N38),Gutschrift!B$2:J$51,8,))</f>
        <v/>
      </c>
      <c r="P38" s="41">
        <f t="shared" si="1"/>
        <v>0</v>
      </c>
    </row>
    <row r="39" spans="1:16" x14ac:dyDescent="0.2">
      <c r="A39" s="29">
        <v>38</v>
      </c>
      <c r="B39" s="19"/>
      <c r="C39" s="19"/>
      <c r="D39" s="31"/>
      <c r="E39" s="32"/>
      <c r="F39" s="30" t="str">
        <f>IF(C39="Fichte",LOOKUP(E39,Rindenabzug!D$1:D$3,Rindenabzug!F$1:F$3),
IF(C39="Tanne",LOOKUP(E39,Rindenabzug!D$4:D$7,Rindenabzug!F$4:F$7),
IF(C39="Douglasie",LOOKUP(E39,Rindenabzug!D$8:D$12,Rindenabzug!F$8:F$12),
IF(C39="Buche",LOOKUP(E39,Rindenabzug!D$13:D$14,Rindenabzug!F$13:F$14),
IF(C39="Esche",LOOKUP(E39,Rindenabzug!D$15:D$18,Rindenabzug!F$15:F$18),
IF(C39="Kiefer",LOOKUP(E39,Rindenabzug!D$19:D$22,Rindenabzug!F$19:F$22),
IF(C39="Eiche",LOOKUP(E39,Rindenabzug!D$23:D$27,Rindenabzug!F$23:F$27),
IF(C39="Lärche",LOOKUP(E39,Rindenabzug!D$28:D$32,Rindenabzug!F$28:F$32),"-"))))))))</f>
        <v>-</v>
      </c>
      <c r="G39" s="10" t="str">
        <f t="shared" si="0"/>
        <v>-</v>
      </c>
      <c r="H39" s="34" t="str">
        <f>IF(ISBLANK(C39),"-",SearchBestMatch(C39,D39*100,E39*10,F39*10,Sägeliste!B$2:E$51,H$1:H38))</f>
        <v>-</v>
      </c>
      <c r="I39" s="34" t="str">
        <f>IF(H39="-","",VLOOKUP($H39,Sägeliste!$A$2:$G$51,2))</f>
        <v/>
      </c>
      <c r="J39" s="35" t="str">
        <f>IF(H39="-","",VLOOKUP($H39,Sägeliste!$A$2:$G$51,3))</f>
        <v/>
      </c>
      <c r="K39" s="36" t="str">
        <f>IF(H39="-","",VLOOKUP($H39,Sägeliste!$A$2:$G$51,4))</f>
        <v/>
      </c>
      <c r="L39" s="37" t="str">
        <f>IF(H39="-","",VLOOKUP($H39,Sägeliste!$A$2:$G$51,5))</f>
        <v/>
      </c>
      <c r="M39" s="58" t="str">
        <f>IF(H39="-","",VLOOKUP($H39,Sägeliste!$A$2:$G$51,6))</f>
        <v/>
      </c>
      <c r="N39" s="34" t="str">
        <f>IF(H39="-","",VLOOKUP($H39,Sägeliste!$A$2:$G$51,7))</f>
        <v/>
      </c>
      <c r="O39" s="41" t="str">
        <f>IF(H39="-","",VLOOKUP(CONCATENATE(I39,"-",M39,"-L",N39),Gutschrift!B$2:J$51,8,))</f>
        <v/>
      </c>
      <c r="P39" s="41">
        <f t="shared" si="1"/>
        <v>0</v>
      </c>
    </row>
    <row r="40" spans="1:16" x14ac:dyDescent="0.2">
      <c r="A40" s="29">
        <v>39</v>
      </c>
      <c r="B40" s="19"/>
      <c r="C40" s="19"/>
      <c r="D40" s="31"/>
      <c r="E40" s="32"/>
      <c r="F40" s="30" t="str">
        <f>IF(C40="Fichte",LOOKUP(E40,Rindenabzug!D$1:D$3,Rindenabzug!F$1:F$3),
IF(C40="Tanne",LOOKUP(E40,Rindenabzug!D$4:D$7,Rindenabzug!F$4:F$7),
IF(C40="Douglasie",LOOKUP(E40,Rindenabzug!D$8:D$12,Rindenabzug!F$8:F$12),
IF(C40="Buche",LOOKUP(E40,Rindenabzug!D$13:D$14,Rindenabzug!F$13:F$14),
IF(C40="Esche",LOOKUP(E40,Rindenabzug!D$15:D$18,Rindenabzug!F$15:F$18),
IF(C40="Kiefer",LOOKUP(E40,Rindenabzug!D$19:D$22,Rindenabzug!F$19:F$22),
IF(C40="Eiche",LOOKUP(E40,Rindenabzug!D$23:D$27,Rindenabzug!F$23:F$27),
IF(C40="Lärche",LOOKUP(E40,Rindenabzug!D$28:D$32,Rindenabzug!F$28:F$32),"-"))))))))</f>
        <v>-</v>
      </c>
      <c r="G40" s="10" t="str">
        <f t="shared" si="0"/>
        <v>-</v>
      </c>
      <c r="H40" s="34" t="str">
        <f>IF(ISBLANK(C40),"-",SearchBestMatch(C40,D40*100,E40*10,F40*10,Sägeliste!B$2:E$51,H$1:H39))</f>
        <v>-</v>
      </c>
      <c r="I40" s="34" t="str">
        <f>IF(H40="-","",VLOOKUP($H40,Sägeliste!$A$2:$G$51,2))</f>
        <v/>
      </c>
      <c r="J40" s="35" t="str">
        <f>IF(H40="-","",VLOOKUP($H40,Sägeliste!$A$2:$G$51,3))</f>
        <v/>
      </c>
      <c r="K40" s="36" t="str">
        <f>IF(H40="-","",VLOOKUP($H40,Sägeliste!$A$2:$G$51,4))</f>
        <v/>
      </c>
      <c r="L40" s="37" t="str">
        <f>IF(H40="-","",VLOOKUP($H40,Sägeliste!$A$2:$G$51,5))</f>
        <v/>
      </c>
      <c r="M40" s="58" t="str">
        <f>IF(H40="-","",VLOOKUP($H40,Sägeliste!$A$2:$G$51,6))</f>
        <v/>
      </c>
      <c r="N40" s="34" t="str">
        <f>IF(H40="-","",VLOOKUP($H40,Sägeliste!$A$2:$G$51,7))</f>
        <v/>
      </c>
      <c r="O40" s="41" t="str">
        <f>IF(H40="-","",VLOOKUP(CONCATENATE(I40,"-",M40,"-L",N40),Gutschrift!B$2:J$51,8,))</f>
        <v/>
      </c>
      <c r="P40" s="41">
        <f t="shared" si="1"/>
        <v>0</v>
      </c>
    </row>
    <row r="41" spans="1:16" x14ac:dyDescent="0.2">
      <c r="A41" s="29">
        <v>40</v>
      </c>
      <c r="B41" s="19"/>
      <c r="C41" s="19"/>
      <c r="D41" s="31"/>
      <c r="E41" s="32"/>
      <c r="F41" s="30" t="str">
        <f>IF(C41="Fichte",LOOKUP(E41,Rindenabzug!D$1:D$3,Rindenabzug!F$1:F$3),
IF(C41="Tanne",LOOKUP(E41,Rindenabzug!D$4:D$7,Rindenabzug!F$4:F$7),
IF(C41="Douglasie",LOOKUP(E41,Rindenabzug!D$8:D$12,Rindenabzug!F$8:F$12),
IF(C41="Buche",LOOKUP(E41,Rindenabzug!D$13:D$14,Rindenabzug!F$13:F$14),
IF(C41="Esche",LOOKUP(E41,Rindenabzug!D$15:D$18,Rindenabzug!F$15:F$18),
IF(C41="Kiefer",LOOKUP(E41,Rindenabzug!D$19:D$22,Rindenabzug!F$19:F$22),
IF(C41="Eiche",LOOKUP(E41,Rindenabzug!D$23:D$27,Rindenabzug!F$23:F$27),
IF(C41="Lärche",LOOKUP(E41,Rindenabzug!D$28:D$32,Rindenabzug!F$28:F$32),"-"))))))))</f>
        <v>-</v>
      </c>
      <c r="G41" s="10" t="str">
        <f t="shared" si="0"/>
        <v>-</v>
      </c>
      <c r="H41" s="34" t="str">
        <f>IF(ISBLANK(C41),"-",SearchBestMatch(C41,D41*100,E41*10,F41*10,Sägeliste!B$2:E$51,H$1:H40))</f>
        <v>-</v>
      </c>
      <c r="I41" s="34" t="str">
        <f>IF(H41="-","",VLOOKUP($H41,Sägeliste!$A$2:$G$51,2))</f>
        <v/>
      </c>
      <c r="J41" s="35" t="str">
        <f>IF(H41="-","",VLOOKUP($H41,Sägeliste!$A$2:$G$51,3))</f>
        <v/>
      </c>
      <c r="K41" s="36" t="str">
        <f>IF(H41="-","",VLOOKUP($H41,Sägeliste!$A$2:$G$51,4))</f>
        <v/>
      </c>
      <c r="L41" s="37" t="str">
        <f>IF(H41="-","",VLOOKUP($H41,Sägeliste!$A$2:$G$51,5))</f>
        <v/>
      </c>
      <c r="M41" s="58" t="str">
        <f>IF(H41="-","",VLOOKUP($H41,Sägeliste!$A$2:$G$51,6))</f>
        <v/>
      </c>
      <c r="N41" s="34" t="str">
        <f>IF(H41="-","",VLOOKUP($H41,Sägeliste!$A$2:$G$51,7))</f>
        <v/>
      </c>
      <c r="O41" s="41" t="str">
        <f>IF(H41="-","",VLOOKUP(CONCATENATE(I41,"-",M41,"-L",N41),Gutschrift!B$2:J$51,8,))</f>
        <v/>
      </c>
      <c r="P41" s="41">
        <f t="shared" si="1"/>
        <v>0</v>
      </c>
    </row>
    <row r="42" spans="1:16" x14ac:dyDescent="0.2">
      <c r="A42" s="29">
        <v>41</v>
      </c>
      <c r="B42" s="19"/>
      <c r="C42" s="19"/>
      <c r="D42" s="31"/>
      <c r="E42" s="32"/>
      <c r="F42" s="30" t="str">
        <f>IF(C42="Fichte",LOOKUP(E42,Rindenabzug!D$1:D$3,Rindenabzug!F$1:F$3),
IF(C42="Tanne",LOOKUP(E42,Rindenabzug!D$4:D$7,Rindenabzug!F$4:F$7),
IF(C42="Douglasie",LOOKUP(E42,Rindenabzug!D$8:D$12,Rindenabzug!F$8:F$12),
IF(C42="Buche",LOOKUP(E42,Rindenabzug!D$13:D$14,Rindenabzug!F$13:F$14),
IF(C42="Esche",LOOKUP(E42,Rindenabzug!D$15:D$18,Rindenabzug!F$15:F$18),
IF(C42="Kiefer",LOOKUP(E42,Rindenabzug!D$19:D$22,Rindenabzug!F$19:F$22),
IF(C42="Eiche",LOOKUP(E42,Rindenabzug!D$23:D$27,Rindenabzug!F$23:F$27),
IF(C42="Lärche",LOOKUP(E42,Rindenabzug!D$28:D$32,Rindenabzug!F$28:F$32),"-"))))))))</f>
        <v>-</v>
      </c>
      <c r="G42" s="10" t="str">
        <f t="shared" si="0"/>
        <v>-</v>
      </c>
      <c r="H42" s="34" t="str">
        <f>IF(ISBLANK(C42),"-",SearchBestMatch(C42,D42*100,E42*10,F42*10,Sägeliste!B$2:E$51,H$1:H41))</f>
        <v>-</v>
      </c>
      <c r="I42" s="34" t="str">
        <f>IF(H42="-","",VLOOKUP($H42,Sägeliste!$A$2:$G$51,2))</f>
        <v/>
      </c>
      <c r="J42" s="35" t="str">
        <f>IF(H42="-","",VLOOKUP($H42,Sägeliste!$A$2:$G$51,3))</f>
        <v/>
      </c>
      <c r="K42" s="36" t="str">
        <f>IF(H42="-","",VLOOKUP($H42,Sägeliste!$A$2:$G$51,4))</f>
        <v/>
      </c>
      <c r="L42" s="37" t="str">
        <f>IF(H42="-","",VLOOKUP($H42,Sägeliste!$A$2:$G$51,5))</f>
        <v/>
      </c>
      <c r="M42" s="58" t="str">
        <f>IF(H42="-","",VLOOKUP($H42,Sägeliste!$A$2:$G$51,6))</f>
        <v/>
      </c>
      <c r="N42" s="34" t="str">
        <f>IF(H42="-","",VLOOKUP($H42,Sägeliste!$A$2:$G$51,7))</f>
        <v/>
      </c>
      <c r="O42" s="41" t="str">
        <f>IF(H42="-","",VLOOKUP(CONCATENATE(I42,"-",M42,"-L",N42),Gutschrift!B$2:J$51,8,))</f>
        <v/>
      </c>
      <c r="P42" s="41">
        <f t="shared" si="1"/>
        <v>0</v>
      </c>
    </row>
    <row r="43" spans="1:16" x14ac:dyDescent="0.2">
      <c r="A43" s="29">
        <v>42</v>
      </c>
      <c r="B43" s="19"/>
      <c r="C43" s="19"/>
      <c r="D43" s="31"/>
      <c r="E43" s="32"/>
      <c r="F43" s="30" t="str">
        <f>IF(C43="Fichte",LOOKUP(E43,Rindenabzug!D$1:D$3,Rindenabzug!F$1:F$3),
IF(C43="Tanne",LOOKUP(E43,Rindenabzug!D$4:D$7,Rindenabzug!F$4:F$7),
IF(C43="Douglasie",LOOKUP(E43,Rindenabzug!D$8:D$12,Rindenabzug!F$8:F$12),
IF(C43="Buche",LOOKUP(E43,Rindenabzug!D$13:D$14,Rindenabzug!F$13:F$14),
IF(C43="Esche",LOOKUP(E43,Rindenabzug!D$15:D$18,Rindenabzug!F$15:F$18),
IF(C43="Kiefer",LOOKUP(E43,Rindenabzug!D$19:D$22,Rindenabzug!F$19:F$22),
IF(C43="Eiche",LOOKUP(E43,Rindenabzug!D$23:D$27,Rindenabzug!F$23:F$27),
IF(C43="Lärche",LOOKUP(E43,Rindenabzug!D$28:D$32,Rindenabzug!F$28:F$32),"-"))))))))</f>
        <v>-</v>
      </c>
      <c r="G43" s="10" t="str">
        <f t="shared" si="0"/>
        <v>-</v>
      </c>
      <c r="H43" s="34" t="str">
        <f>IF(ISBLANK(C43),"-",SearchBestMatch(C43,D43*100,E43*10,F43*10,Sägeliste!B$2:E$51,H$1:H42))</f>
        <v>-</v>
      </c>
      <c r="I43" s="34" t="str">
        <f>IF(H43="-","",VLOOKUP($H43,Sägeliste!$A$2:$G$51,2))</f>
        <v/>
      </c>
      <c r="J43" s="35" t="str">
        <f>IF(H43="-","",VLOOKUP($H43,Sägeliste!$A$2:$G$51,3))</f>
        <v/>
      </c>
      <c r="K43" s="36" t="str">
        <f>IF(H43="-","",VLOOKUP($H43,Sägeliste!$A$2:$G$51,4))</f>
        <v/>
      </c>
      <c r="L43" s="37" t="str">
        <f>IF(H43="-","",VLOOKUP($H43,Sägeliste!$A$2:$G$51,5))</f>
        <v/>
      </c>
      <c r="M43" s="58" t="str">
        <f>IF(H43="-","",VLOOKUP($H43,Sägeliste!$A$2:$G$51,6))</f>
        <v/>
      </c>
      <c r="N43" s="34" t="str">
        <f>IF(H43="-","",VLOOKUP($H43,Sägeliste!$A$2:$G$51,7))</f>
        <v/>
      </c>
      <c r="O43" s="41" t="str">
        <f>IF(H43="-","",VLOOKUP(CONCATENATE(I43,"-",M43,"-L",N43),Gutschrift!B$2:J$51,8,))</f>
        <v/>
      </c>
      <c r="P43" s="41">
        <f t="shared" si="1"/>
        <v>0</v>
      </c>
    </row>
    <row r="44" spans="1:16" x14ac:dyDescent="0.2">
      <c r="A44" s="29">
        <v>43</v>
      </c>
      <c r="B44" s="19"/>
      <c r="C44" s="19"/>
      <c r="D44" s="31"/>
      <c r="E44" s="32"/>
      <c r="F44" s="30" t="str">
        <f>IF(C44="Fichte",LOOKUP(E44,Rindenabzug!D$1:D$3,Rindenabzug!F$1:F$3),
IF(C44="Tanne",LOOKUP(E44,Rindenabzug!D$4:D$7,Rindenabzug!F$4:F$7),
IF(C44="Douglasie",LOOKUP(E44,Rindenabzug!D$8:D$12,Rindenabzug!F$8:F$12),
IF(C44="Buche",LOOKUP(E44,Rindenabzug!D$13:D$14,Rindenabzug!F$13:F$14),
IF(C44="Esche",LOOKUP(E44,Rindenabzug!D$15:D$18,Rindenabzug!F$15:F$18),
IF(C44="Kiefer",LOOKUP(E44,Rindenabzug!D$19:D$22,Rindenabzug!F$19:F$22),
IF(C44="Eiche",LOOKUP(E44,Rindenabzug!D$23:D$27,Rindenabzug!F$23:F$27),
IF(C44="Lärche",LOOKUP(E44,Rindenabzug!D$28:D$32,Rindenabzug!F$28:F$32),"-"))))))))</f>
        <v>-</v>
      </c>
      <c r="G44" s="10" t="str">
        <f t="shared" si="0"/>
        <v>-</v>
      </c>
      <c r="H44" s="34" t="str">
        <f>IF(ISBLANK(C44),"-",SearchBestMatch(C44,D44*100,E44*10,F44*10,Sägeliste!B$2:E$51,H$1:H43))</f>
        <v>-</v>
      </c>
      <c r="I44" s="34" t="str">
        <f>IF(H44="-","",VLOOKUP($H44,Sägeliste!$A$2:$G$51,2))</f>
        <v/>
      </c>
      <c r="J44" s="35" t="str">
        <f>IF(H44="-","",VLOOKUP($H44,Sägeliste!$A$2:$G$51,3))</f>
        <v/>
      </c>
      <c r="K44" s="36" t="str">
        <f>IF(H44="-","",VLOOKUP($H44,Sägeliste!$A$2:$G$51,4))</f>
        <v/>
      </c>
      <c r="L44" s="37" t="str">
        <f>IF(H44="-","",VLOOKUP($H44,Sägeliste!$A$2:$G$51,5))</f>
        <v/>
      </c>
      <c r="M44" s="58" t="str">
        <f>IF(H44="-","",VLOOKUP($H44,Sägeliste!$A$2:$G$51,6))</f>
        <v/>
      </c>
      <c r="N44" s="34" t="str">
        <f>IF(H44="-","",VLOOKUP($H44,Sägeliste!$A$2:$G$51,7))</f>
        <v/>
      </c>
      <c r="O44" s="41" t="str">
        <f>IF(H44="-","",VLOOKUP(CONCATENATE(I44,"-",M44,"-L",N44),Gutschrift!B$2:J$51,8,))</f>
        <v/>
      </c>
      <c r="P44" s="41">
        <f t="shared" si="1"/>
        <v>0</v>
      </c>
    </row>
    <row r="45" spans="1:16" x14ac:dyDescent="0.2">
      <c r="A45" s="29">
        <v>44</v>
      </c>
      <c r="B45" s="19"/>
      <c r="C45" s="19"/>
      <c r="D45" s="31"/>
      <c r="E45" s="32"/>
      <c r="F45" s="30" t="str">
        <f>IF(C45="Fichte",LOOKUP(E45,Rindenabzug!D$1:D$3,Rindenabzug!F$1:F$3),
IF(C45="Tanne",LOOKUP(E45,Rindenabzug!D$4:D$7,Rindenabzug!F$4:F$7),
IF(C45="Douglasie",LOOKUP(E45,Rindenabzug!D$8:D$12,Rindenabzug!F$8:F$12),
IF(C45="Buche",LOOKUP(E45,Rindenabzug!D$13:D$14,Rindenabzug!F$13:F$14),
IF(C45="Esche",LOOKUP(E45,Rindenabzug!D$15:D$18,Rindenabzug!F$15:F$18),
IF(C45="Kiefer",LOOKUP(E45,Rindenabzug!D$19:D$22,Rindenabzug!F$19:F$22),
IF(C45="Eiche",LOOKUP(E45,Rindenabzug!D$23:D$27,Rindenabzug!F$23:F$27),
IF(C45="Lärche",LOOKUP(E45,Rindenabzug!D$28:D$32,Rindenabzug!F$28:F$32),"-"))))))))</f>
        <v>-</v>
      </c>
      <c r="G45" s="10" t="str">
        <f t="shared" si="0"/>
        <v>-</v>
      </c>
      <c r="H45" s="34" t="str">
        <f>IF(ISBLANK(C45),"-",SearchBestMatch(C45,D45*100,E45*10,F45*10,Sägeliste!B$2:E$51,H$1:H44))</f>
        <v>-</v>
      </c>
      <c r="I45" s="34" t="str">
        <f>IF(H45="-","",VLOOKUP($H45,Sägeliste!$A$2:$G$51,2))</f>
        <v/>
      </c>
      <c r="J45" s="35" t="str">
        <f>IF(H45="-","",VLOOKUP($H45,Sägeliste!$A$2:$G$51,3))</f>
        <v/>
      </c>
      <c r="K45" s="36" t="str">
        <f>IF(H45="-","",VLOOKUP($H45,Sägeliste!$A$2:$G$51,4))</f>
        <v/>
      </c>
      <c r="L45" s="37" t="str">
        <f>IF(H45="-","",VLOOKUP($H45,Sägeliste!$A$2:$G$51,5))</f>
        <v/>
      </c>
      <c r="M45" s="58" t="str">
        <f>IF(H45="-","",VLOOKUP($H45,Sägeliste!$A$2:$G$51,6))</f>
        <v/>
      </c>
      <c r="N45" s="34" t="str">
        <f>IF(H45="-","",VLOOKUP($H45,Sägeliste!$A$2:$G$51,7))</f>
        <v/>
      </c>
      <c r="O45" s="41" t="str">
        <f>IF(H45="-","",VLOOKUP(CONCATENATE(I45,"-",M45,"-L",N45),Gutschrift!B$2:J$51,8,))</f>
        <v/>
      </c>
      <c r="P45" s="41">
        <f t="shared" si="1"/>
        <v>0</v>
      </c>
    </row>
    <row r="46" spans="1:16" x14ac:dyDescent="0.2">
      <c r="A46" s="29">
        <v>45</v>
      </c>
      <c r="B46" s="19"/>
      <c r="C46" s="19"/>
      <c r="D46" s="31"/>
      <c r="E46" s="32"/>
      <c r="F46" s="30" t="str">
        <f>IF(C46="Fichte",LOOKUP(E46,Rindenabzug!D$1:D$3,Rindenabzug!F$1:F$3),
IF(C46="Tanne",LOOKUP(E46,Rindenabzug!D$4:D$7,Rindenabzug!F$4:F$7),
IF(C46="Douglasie",LOOKUP(E46,Rindenabzug!D$8:D$12,Rindenabzug!F$8:F$12),
IF(C46="Buche",LOOKUP(E46,Rindenabzug!D$13:D$14,Rindenabzug!F$13:F$14),
IF(C46="Esche",LOOKUP(E46,Rindenabzug!D$15:D$18,Rindenabzug!F$15:F$18),
IF(C46="Kiefer",LOOKUP(E46,Rindenabzug!D$19:D$22,Rindenabzug!F$19:F$22),
IF(C46="Eiche",LOOKUP(E46,Rindenabzug!D$23:D$27,Rindenabzug!F$23:F$27),
IF(C46="Lärche",LOOKUP(E46,Rindenabzug!D$28:D$32,Rindenabzug!F$28:F$32),"-"))))))))</f>
        <v>-</v>
      </c>
      <c r="G46" s="10" t="str">
        <f t="shared" si="0"/>
        <v>-</v>
      </c>
      <c r="H46" s="34" t="str">
        <f>IF(ISBLANK(C46),"-",SearchBestMatch(C46,D46*100,E46*10,F46*10,Sägeliste!B$2:E$51,H$1:H45))</f>
        <v>-</v>
      </c>
      <c r="I46" s="34" t="str">
        <f>IF(H46="-","",VLOOKUP($H46,Sägeliste!$A$2:$G$51,2))</f>
        <v/>
      </c>
      <c r="J46" s="35" t="str">
        <f>IF(H46="-","",VLOOKUP($H46,Sägeliste!$A$2:$G$51,3))</f>
        <v/>
      </c>
      <c r="K46" s="36" t="str">
        <f>IF(H46="-","",VLOOKUP($H46,Sägeliste!$A$2:$G$51,4))</f>
        <v/>
      </c>
      <c r="L46" s="37" t="str">
        <f>IF(H46="-","",VLOOKUP($H46,Sägeliste!$A$2:$G$51,5))</f>
        <v/>
      </c>
      <c r="M46" s="58" t="str">
        <f>IF(H46="-","",VLOOKUP($H46,Sägeliste!$A$2:$G$51,6))</f>
        <v/>
      </c>
      <c r="N46" s="34" t="str">
        <f>IF(H46="-","",VLOOKUP($H46,Sägeliste!$A$2:$G$51,7))</f>
        <v/>
      </c>
      <c r="O46" s="41" t="str">
        <f>IF(H46="-","",VLOOKUP(CONCATENATE(I46,"-",M46,"-L",N46),Gutschrift!B$2:J$51,8,))</f>
        <v/>
      </c>
      <c r="P46" s="41">
        <f t="shared" si="1"/>
        <v>0</v>
      </c>
    </row>
    <row r="47" spans="1:16" x14ac:dyDescent="0.2">
      <c r="A47" s="29">
        <v>46</v>
      </c>
      <c r="B47" s="19"/>
      <c r="C47" s="19"/>
      <c r="D47" s="31"/>
      <c r="E47" s="32"/>
      <c r="F47" s="30" t="str">
        <f>IF(C47="Fichte",LOOKUP(E47,Rindenabzug!D$1:D$3,Rindenabzug!F$1:F$3),
IF(C47="Tanne",LOOKUP(E47,Rindenabzug!D$4:D$7,Rindenabzug!F$4:F$7),
IF(C47="Douglasie",LOOKUP(E47,Rindenabzug!D$8:D$12,Rindenabzug!F$8:F$12),
IF(C47="Buche",LOOKUP(E47,Rindenabzug!D$13:D$14,Rindenabzug!F$13:F$14),
IF(C47="Esche",LOOKUP(E47,Rindenabzug!D$15:D$18,Rindenabzug!F$15:F$18),
IF(C47="Kiefer",LOOKUP(E47,Rindenabzug!D$19:D$22,Rindenabzug!F$19:F$22),
IF(C47="Eiche",LOOKUP(E47,Rindenabzug!D$23:D$27,Rindenabzug!F$23:F$27),
IF(C47="Lärche",LOOKUP(E47,Rindenabzug!D$28:D$32,Rindenabzug!F$28:F$32),"-"))))))))</f>
        <v>-</v>
      </c>
      <c r="G47" s="10" t="str">
        <f t="shared" si="0"/>
        <v>-</v>
      </c>
      <c r="H47" s="34" t="str">
        <f>IF(ISBLANK(C47),"-",SearchBestMatch(C47,D47*100,E47*10,F47*10,Sägeliste!B$2:E$51,H$1:H46))</f>
        <v>-</v>
      </c>
      <c r="I47" s="34" t="str">
        <f>IF(H47="-","",VLOOKUP($H47,Sägeliste!$A$2:$G$51,2))</f>
        <v/>
      </c>
      <c r="J47" s="35" t="str">
        <f>IF(H47="-","",VLOOKUP($H47,Sägeliste!$A$2:$G$51,3))</f>
        <v/>
      </c>
      <c r="K47" s="36" t="str">
        <f>IF(H47="-","",VLOOKUP($H47,Sägeliste!$A$2:$G$51,4))</f>
        <v/>
      </c>
      <c r="L47" s="37" t="str">
        <f>IF(H47="-","",VLOOKUP($H47,Sägeliste!$A$2:$G$51,5))</f>
        <v/>
      </c>
      <c r="M47" s="58" t="str">
        <f>IF(H47="-","",VLOOKUP($H47,Sägeliste!$A$2:$G$51,6))</f>
        <v/>
      </c>
      <c r="N47" s="34" t="str">
        <f>IF(H47="-","",VLOOKUP($H47,Sägeliste!$A$2:$G$51,7))</f>
        <v/>
      </c>
      <c r="O47" s="41" t="str">
        <f>IF(H47="-","",VLOOKUP(CONCATENATE(I47,"-",M47,"-L",N47),Gutschrift!B$2:J$51,8,))</f>
        <v/>
      </c>
      <c r="P47" s="41">
        <f t="shared" si="1"/>
        <v>0</v>
      </c>
    </row>
    <row r="48" spans="1:16" x14ac:dyDescent="0.2">
      <c r="A48" s="29">
        <v>47</v>
      </c>
      <c r="B48" s="19"/>
      <c r="C48" s="19"/>
      <c r="D48" s="31"/>
      <c r="E48" s="32"/>
      <c r="F48" s="30" t="str">
        <f>IF(C48="Fichte",LOOKUP(E48,Rindenabzug!D$1:D$3,Rindenabzug!F$1:F$3),
IF(C48="Tanne",LOOKUP(E48,Rindenabzug!D$4:D$7,Rindenabzug!F$4:F$7),
IF(C48="Douglasie",LOOKUP(E48,Rindenabzug!D$8:D$12,Rindenabzug!F$8:F$12),
IF(C48="Buche",LOOKUP(E48,Rindenabzug!D$13:D$14,Rindenabzug!F$13:F$14),
IF(C48="Esche",LOOKUP(E48,Rindenabzug!D$15:D$18,Rindenabzug!F$15:F$18),
IF(C48="Kiefer",LOOKUP(E48,Rindenabzug!D$19:D$22,Rindenabzug!F$19:F$22),
IF(C48="Eiche",LOOKUP(E48,Rindenabzug!D$23:D$27,Rindenabzug!F$23:F$27),
IF(C48="Lärche",LOOKUP(E48,Rindenabzug!D$28:D$32,Rindenabzug!F$28:F$32),"-"))))))))</f>
        <v>-</v>
      </c>
      <c r="G48" s="10" t="str">
        <f t="shared" si="0"/>
        <v>-</v>
      </c>
      <c r="H48" s="34" t="str">
        <f>IF(ISBLANK(C48),"-",SearchBestMatch(C48,D48*100,E48*10,F48*10,Sägeliste!B$2:E$51,H$1:H47))</f>
        <v>-</v>
      </c>
      <c r="I48" s="34" t="str">
        <f>IF(H48="-","",VLOOKUP($H48,Sägeliste!$A$2:$G$51,2))</f>
        <v/>
      </c>
      <c r="J48" s="35" t="str">
        <f>IF(H48="-","",VLOOKUP($H48,Sägeliste!$A$2:$G$51,3))</f>
        <v/>
      </c>
      <c r="K48" s="36" t="str">
        <f>IF(H48="-","",VLOOKUP($H48,Sägeliste!$A$2:$G$51,4))</f>
        <v/>
      </c>
      <c r="L48" s="37" t="str">
        <f>IF(H48="-","",VLOOKUP($H48,Sägeliste!$A$2:$G$51,5))</f>
        <v/>
      </c>
      <c r="M48" s="58" t="str">
        <f>IF(H48="-","",VLOOKUP($H48,Sägeliste!$A$2:$G$51,6))</f>
        <v/>
      </c>
      <c r="N48" s="34" t="str">
        <f>IF(H48="-","",VLOOKUP($H48,Sägeliste!$A$2:$G$51,7))</f>
        <v/>
      </c>
      <c r="O48" s="41" t="str">
        <f>IF(H48="-","",VLOOKUP(CONCATENATE(I48,"-",M48,"-L",N48),Gutschrift!B$2:J$51,8,))</f>
        <v/>
      </c>
      <c r="P48" s="41">
        <f t="shared" si="1"/>
        <v>0</v>
      </c>
    </row>
    <row r="49" spans="1:16" x14ac:dyDescent="0.2">
      <c r="A49" s="29">
        <v>48</v>
      </c>
      <c r="B49" s="19"/>
      <c r="C49" s="19"/>
      <c r="D49" s="31"/>
      <c r="E49" s="32"/>
      <c r="F49" s="30" t="str">
        <f>IF(C49="Fichte",LOOKUP(E49,Rindenabzug!D$1:D$3,Rindenabzug!F$1:F$3),
IF(C49="Tanne",LOOKUP(E49,Rindenabzug!D$4:D$7,Rindenabzug!F$4:F$7),
IF(C49="Douglasie",LOOKUP(E49,Rindenabzug!D$8:D$12,Rindenabzug!F$8:F$12),
IF(C49="Buche",LOOKUP(E49,Rindenabzug!D$13:D$14,Rindenabzug!F$13:F$14),
IF(C49="Esche",LOOKUP(E49,Rindenabzug!D$15:D$18,Rindenabzug!F$15:F$18),
IF(C49="Kiefer",LOOKUP(E49,Rindenabzug!D$19:D$22,Rindenabzug!F$19:F$22),
IF(C49="Eiche",LOOKUP(E49,Rindenabzug!D$23:D$27,Rindenabzug!F$23:F$27),
IF(C49="Lärche",LOOKUP(E49,Rindenabzug!D$28:D$32,Rindenabzug!F$28:F$32),"-"))))))))</f>
        <v>-</v>
      </c>
      <c r="G49" s="10" t="str">
        <f t="shared" si="0"/>
        <v>-</v>
      </c>
      <c r="H49" s="34" t="str">
        <f>IF(ISBLANK(C49),"-",SearchBestMatch(C49,D49*100,E49*10,F49*10,Sägeliste!B$2:E$51,H$1:H48))</f>
        <v>-</v>
      </c>
      <c r="I49" s="34" t="str">
        <f>IF(H49="-","",VLOOKUP($H49,Sägeliste!$A$2:$G$51,2))</f>
        <v/>
      </c>
      <c r="J49" s="35" t="str">
        <f>IF(H49="-","",VLOOKUP($H49,Sägeliste!$A$2:$G$51,3))</f>
        <v/>
      </c>
      <c r="K49" s="36" t="str">
        <f>IF(H49="-","",VLOOKUP($H49,Sägeliste!$A$2:$G$51,4))</f>
        <v/>
      </c>
      <c r="L49" s="37" t="str">
        <f>IF(H49="-","",VLOOKUP($H49,Sägeliste!$A$2:$G$51,5))</f>
        <v/>
      </c>
      <c r="M49" s="58" t="str">
        <f>IF(H49="-","",VLOOKUP($H49,Sägeliste!$A$2:$G$51,6))</f>
        <v/>
      </c>
      <c r="N49" s="34" t="str">
        <f>IF(H49="-","",VLOOKUP($H49,Sägeliste!$A$2:$G$51,7))</f>
        <v/>
      </c>
      <c r="O49" s="41" t="str">
        <f>IF(H49="-","",VLOOKUP(CONCATENATE(I49,"-",M49,"-L",N49),Gutschrift!B$2:J$51,8,))</f>
        <v/>
      </c>
      <c r="P49" s="41">
        <f t="shared" si="1"/>
        <v>0</v>
      </c>
    </row>
    <row r="50" spans="1:16" x14ac:dyDescent="0.2">
      <c r="A50" s="29">
        <v>49</v>
      </c>
      <c r="B50" s="19"/>
      <c r="C50" s="19"/>
      <c r="D50" s="31"/>
      <c r="E50" s="32"/>
      <c r="F50" s="30" t="str">
        <f>IF(C50="Fichte",LOOKUP(E50,Rindenabzug!D$1:D$3,Rindenabzug!F$1:F$3),
IF(C50="Tanne",LOOKUP(E50,Rindenabzug!D$4:D$7,Rindenabzug!F$4:F$7),
IF(C50="Douglasie",LOOKUP(E50,Rindenabzug!D$8:D$12,Rindenabzug!F$8:F$12),
IF(C50="Buche",LOOKUP(E50,Rindenabzug!D$13:D$14,Rindenabzug!F$13:F$14),
IF(C50="Esche",LOOKUP(E50,Rindenabzug!D$15:D$18,Rindenabzug!F$15:F$18),
IF(C50="Kiefer",LOOKUP(E50,Rindenabzug!D$19:D$22,Rindenabzug!F$19:F$22),
IF(C50="Eiche",LOOKUP(E50,Rindenabzug!D$23:D$27,Rindenabzug!F$23:F$27),
IF(C50="Lärche",LOOKUP(E50,Rindenabzug!D$28:D$32,Rindenabzug!F$28:F$32),"-"))))))))</f>
        <v>-</v>
      </c>
      <c r="G50" s="10" t="str">
        <f t="shared" si="0"/>
        <v>-</v>
      </c>
      <c r="H50" s="34" t="str">
        <f>IF(ISBLANK(C50),"-",SearchBestMatch(C50,D50*100,E50*10,F50*10,Sägeliste!B$2:E$51,H$1:H49))</f>
        <v>-</v>
      </c>
      <c r="I50" s="34" t="str">
        <f>IF(H50="-","",VLOOKUP($H50,Sägeliste!$A$2:$G$51,2))</f>
        <v/>
      </c>
      <c r="J50" s="35" t="str">
        <f>IF(H50="-","",VLOOKUP($H50,Sägeliste!$A$2:$G$51,3))</f>
        <v/>
      </c>
      <c r="K50" s="36" t="str">
        <f>IF(H50="-","",VLOOKUP($H50,Sägeliste!$A$2:$G$51,4))</f>
        <v/>
      </c>
      <c r="L50" s="37" t="str">
        <f>IF(H50="-","",VLOOKUP($H50,Sägeliste!$A$2:$G$51,5))</f>
        <v/>
      </c>
      <c r="M50" s="58" t="str">
        <f>IF(H50="-","",VLOOKUP($H50,Sägeliste!$A$2:$G$51,6))</f>
        <v/>
      </c>
      <c r="N50" s="34" t="str">
        <f>IF(H50="-","",VLOOKUP($H50,Sägeliste!$A$2:$G$51,7))</f>
        <v/>
      </c>
      <c r="O50" s="41" t="str">
        <f>IF(H50="-","",VLOOKUP(CONCATENATE(I50,"-",M50,"-L",N50),Gutschrift!B$2:J$51,8,))</f>
        <v/>
      </c>
      <c r="P50" s="41">
        <f t="shared" si="1"/>
        <v>0</v>
      </c>
    </row>
    <row r="51" spans="1:16" x14ac:dyDescent="0.2">
      <c r="A51" s="29">
        <v>50</v>
      </c>
      <c r="B51" s="19"/>
      <c r="C51" s="19"/>
      <c r="D51" s="31"/>
      <c r="E51" s="32"/>
      <c r="F51" s="30" t="str">
        <f>IF(C51="Fichte",LOOKUP(E51,Rindenabzug!D$1:D$3,Rindenabzug!F$1:F$3),
IF(C51="Tanne",LOOKUP(E51,Rindenabzug!D$4:D$7,Rindenabzug!F$4:F$7),
IF(C51="Douglasie",LOOKUP(E51,Rindenabzug!D$8:D$12,Rindenabzug!F$8:F$12),
IF(C51="Buche",LOOKUP(E51,Rindenabzug!D$13:D$14,Rindenabzug!F$13:F$14),
IF(C51="Esche",LOOKUP(E51,Rindenabzug!D$15:D$18,Rindenabzug!F$15:F$18),
IF(C51="Kiefer",LOOKUP(E51,Rindenabzug!D$19:D$22,Rindenabzug!F$19:F$22),
IF(C51="Eiche",LOOKUP(E51,Rindenabzug!D$23:D$27,Rindenabzug!F$23:F$27),
IF(C51="Lärche",LOOKUP(E51,Rindenabzug!D$28:D$32,Rindenabzug!F$28:F$32),"-"))))))))</f>
        <v>-</v>
      </c>
      <c r="G51" s="10" t="str">
        <f t="shared" si="0"/>
        <v>-</v>
      </c>
      <c r="H51" s="34" t="str">
        <f>IF(ISBLANK(C51),"-",SearchBestMatch(C51,D51*100,E51*10,F51*10,Sägeliste!B$2:E$51,H$1:H50))</f>
        <v>-</v>
      </c>
      <c r="I51" s="34" t="str">
        <f>IF(H51="-","",VLOOKUP($H51,Sägeliste!$A$2:$G$51,2))</f>
        <v/>
      </c>
      <c r="J51" s="35" t="str">
        <f>IF(H51="-","",VLOOKUP($H51,Sägeliste!$A$2:$G$51,3))</f>
        <v/>
      </c>
      <c r="K51" s="36" t="str">
        <f>IF(H51="-","",VLOOKUP($H51,Sägeliste!$A$2:$G$51,4))</f>
        <v/>
      </c>
      <c r="L51" s="37" t="str">
        <f>IF(H51="-","",VLOOKUP($H51,Sägeliste!$A$2:$G$51,5))</f>
        <v/>
      </c>
      <c r="M51" s="58" t="str">
        <f>IF(H51="-","",VLOOKUP($H51,Sägeliste!$A$2:$G$51,6))</f>
        <v/>
      </c>
      <c r="N51" s="34" t="str">
        <f>IF(H51="-","",VLOOKUP($H51,Sägeliste!$A$2:$G$51,7))</f>
        <v/>
      </c>
      <c r="O51" s="41" t="str">
        <f>IF(H51="-","",VLOOKUP(CONCATENATE(I51,"-",M51,"-L",N51),Gutschrift!B$2:J$51,8,))</f>
        <v/>
      </c>
      <c r="P51" s="41">
        <f t="shared" si="1"/>
        <v>0</v>
      </c>
    </row>
  </sheetData>
  <conditionalFormatting sqref="I2:I51">
    <cfRule type="cellIs" dxfId="1" priority="2" operator="notEqual">
      <formula>$C2</formula>
    </cfRule>
  </conditionalFormatting>
  <conditionalFormatting sqref="H1:H1048576">
    <cfRule type="duplicateValues" dxfId="0" priority="1"/>
  </conditionalFormatting>
  <dataValidations count="1">
    <dataValidation type="list" allowBlank="1" showInputMessage="1" showErrorMessage="1" sqref="C1:C1048576" xr:uid="{7DA855BE-A453-4347-A0F1-98D44043AA5A}">
      <formula1>Holzarten</formula1>
    </dataValidation>
  </dataValidations>
  <pageMargins left="0.7" right="0.7" top="0.75" bottom="0.75" header="0.3" footer="0.3"/>
  <pageSetup paperSize="9" orientation="portrait" horizontalDpi="12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AEEEE-06B2-0A45-A7BA-CCDC8AC2DD63}">
  <sheetPr codeName="Tabelle1"/>
  <dimension ref="A1:G51"/>
  <sheetViews>
    <sheetView tabSelected="1" zoomScale="170" zoomScaleNormal="170" workbookViewId="0">
      <selection activeCell="E7" sqref="E7"/>
    </sheetView>
  </sheetViews>
  <sheetFormatPr baseColWidth="10" defaultColWidth="8.83203125" defaultRowHeight="15" x14ac:dyDescent="0.2"/>
  <cols>
    <col min="1" max="1" width="8.83203125" style="17"/>
    <col min="2" max="2" width="11" customWidth="1"/>
    <col min="3" max="3" width="17.83203125" style="2" customWidth="1"/>
    <col min="4" max="4" width="17.83203125" style="5" customWidth="1"/>
    <col min="5" max="5" width="17.83203125" style="12" customWidth="1"/>
    <col min="6" max="6" width="5.5" style="55" bestFit="1" customWidth="1"/>
    <col min="7" max="7" width="8.33203125" style="1" customWidth="1"/>
    <col min="8" max="8" width="35.33203125" customWidth="1"/>
  </cols>
  <sheetData>
    <row r="1" spans="1:7" x14ac:dyDescent="0.2">
      <c r="A1" s="16" t="s">
        <v>5</v>
      </c>
      <c r="B1" s="8" t="s">
        <v>6</v>
      </c>
      <c r="C1" s="13" t="s">
        <v>24</v>
      </c>
      <c r="D1" s="14" t="s">
        <v>23</v>
      </c>
      <c r="E1" s="15" t="s">
        <v>25</v>
      </c>
      <c r="F1" s="54" t="s">
        <v>49</v>
      </c>
      <c r="G1" s="7" t="s">
        <v>15</v>
      </c>
    </row>
    <row r="2" spans="1:7" x14ac:dyDescent="0.2">
      <c r="A2" s="18">
        <v>1</v>
      </c>
      <c r="B2" s="19" t="s">
        <v>8</v>
      </c>
      <c r="C2" s="20">
        <v>1600</v>
      </c>
      <c r="D2" s="21">
        <v>270</v>
      </c>
      <c r="E2" s="11">
        <f t="shared" ref="E2:E33" si="0">IF(ISBLANK(C2),"-",POWER(D2/2000,2)*PI()*C2/100)</f>
        <v>0.91608841778678363</v>
      </c>
      <c r="F2" s="56" t="s">
        <v>50</v>
      </c>
      <c r="G2" s="22" t="s">
        <v>16</v>
      </c>
    </row>
    <row r="3" spans="1:7" x14ac:dyDescent="0.2">
      <c r="A3" s="18">
        <v>2</v>
      </c>
      <c r="B3" s="19" t="s">
        <v>8</v>
      </c>
      <c r="C3" s="20">
        <v>1500</v>
      </c>
      <c r="D3" s="21">
        <v>260</v>
      </c>
      <c r="E3" s="11">
        <f t="shared" si="0"/>
        <v>0.79639373768501276</v>
      </c>
      <c r="F3" s="56" t="s">
        <v>50</v>
      </c>
      <c r="G3" s="22" t="s">
        <v>16</v>
      </c>
    </row>
    <row r="4" spans="1:7" x14ac:dyDescent="0.2">
      <c r="A4" s="18">
        <v>3</v>
      </c>
      <c r="B4" s="19" t="s">
        <v>8</v>
      </c>
      <c r="C4" s="20">
        <v>1100</v>
      </c>
      <c r="D4" s="21">
        <v>420</v>
      </c>
      <c r="E4" s="11">
        <f t="shared" si="0"/>
        <v>1.5239865962564085</v>
      </c>
      <c r="F4" s="56" t="s">
        <v>51</v>
      </c>
      <c r="G4" s="22" t="s">
        <v>17</v>
      </c>
    </row>
    <row r="5" spans="1:7" x14ac:dyDescent="0.2">
      <c r="A5" s="18">
        <v>4</v>
      </c>
      <c r="B5" s="19" t="s">
        <v>7</v>
      </c>
      <c r="C5" s="20">
        <v>1900</v>
      </c>
      <c r="D5" s="21">
        <v>300</v>
      </c>
      <c r="E5" s="11">
        <f t="shared" si="0"/>
        <v>1.3430308594096365</v>
      </c>
      <c r="F5" s="56" t="s">
        <v>50</v>
      </c>
      <c r="G5" s="22" t="s">
        <v>18</v>
      </c>
    </row>
    <row r="6" spans="1:7" x14ac:dyDescent="0.2">
      <c r="A6" s="18">
        <v>5</v>
      </c>
      <c r="B6" s="19" t="s">
        <v>8</v>
      </c>
      <c r="C6" s="20">
        <v>1900</v>
      </c>
      <c r="D6" s="21">
        <v>210</v>
      </c>
      <c r="E6" s="11">
        <f t="shared" si="0"/>
        <v>0.65808512111072193</v>
      </c>
      <c r="F6" s="56" t="s">
        <v>50</v>
      </c>
      <c r="G6" s="22" t="s">
        <v>19</v>
      </c>
    </row>
    <row r="7" spans="1:7" x14ac:dyDescent="0.2">
      <c r="A7" s="18">
        <v>6</v>
      </c>
      <c r="B7" s="19" t="s">
        <v>8</v>
      </c>
      <c r="C7" s="20">
        <v>1400</v>
      </c>
      <c r="D7" s="21">
        <v>200</v>
      </c>
      <c r="E7" s="11">
        <f t="shared" si="0"/>
        <v>0.4398229715025711</v>
      </c>
      <c r="F7" s="56" t="s">
        <v>51</v>
      </c>
      <c r="G7" s="22" t="s">
        <v>19</v>
      </c>
    </row>
    <row r="8" spans="1:7" x14ac:dyDescent="0.2">
      <c r="A8" s="18">
        <v>7</v>
      </c>
      <c r="B8" s="19" t="s">
        <v>8</v>
      </c>
      <c r="C8" s="20">
        <v>1100</v>
      </c>
      <c r="D8" s="21">
        <v>410</v>
      </c>
      <c r="E8" s="11">
        <f t="shared" si="0"/>
        <v>1.4522797439382213</v>
      </c>
      <c r="F8" s="56" t="s">
        <v>51</v>
      </c>
      <c r="G8" s="22" t="s">
        <v>17</v>
      </c>
    </row>
    <row r="9" spans="1:7" x14ac:dyDescent="0.2">
      <c r="A9" s="18">
        <v>8</v>
      </c>
      <c r="B9" s="19" t="s">
        <v>8</v>
      </c>
      <c r="C9" s="20">
        <v>1000</v>
      </c>
      <c r="D9" s="21">
        <v>440</v>
      </c>
      <c r="E9" s="11">
        <f t="shared" si="0"/>
        <v>1.5205308443374599</v>
      </c>
      <c r="F9" s="56" t="s">
        <v>51</v>
      </c>
      <c r="G9" s="22" t="s">
        <v>17</v>
      </c>
    </row>
    <row r="10" spans="1:7" x14ac:dyDescent="0.2">
      <c r="A10" s="18">
        <v>9</v>
      </c>
      <c r="B10" s="19" t="s">
        <v>8</v>
      </c>
      <c r="C10" s="20">
        <v>1300</v>
      </c>
      <c r="D10" s="21">
        <v>190</v>
      </c>
      <c r="E10" s="11">
        <f t="shared" si="0"/>
        <v>0.36858735808242249</v>
      </c>
      <c r="F10" s="56" t="s">
        <v>50</v>
      </c>
      <c r="G10" s="22" t="s">
        <v>20</v>
      </c>
    </row>
    <row r="11" spans="1:7" x14ac:dyDescent="0.2">
      <c r="A11" s="18">
        <v>10</v>
      </c>
      <c r="B11" s="19" t="s">
        <v>8</v>
      </c>
      <c r="C11" s="20">
        <v>1400</v>
      </c>
      <c r="D11" s="21">
        <v>290</v>
      </c>
      <c r="E11" s="11">
        <f t="shared" si="0"/>
        <v>0.92472779758415558</v>
      </c>
      <c r="F11" s="56" t="s">
        <v>50</v>
      </c>
      <c r="G11" s="22" t="s">
        <v>16</v>
      </c>
    </row>
    <row r="12" spans="1:7" x14ac:dyDescent="0.2">
      <c r="A12" s="18">
        <v>11</v>
      </c>
      <c r="B12" s="19" t="s">
        <v>8</v>
      </c>
      <c r="C12" s="20">
        <v>1300</v>
      </c>
      <c r="D12" s="21">
        <v>380</v>
      </c>
      <c r="E12" s="11">
        <f t="shared" si="0"/>
        <v>1.47434943232969</v>
      </c>
      <c r="F12" s="56" t="s">
        <v>50</v>
      </c>
      <c r="G12" s="22" t="s">
        <v>21</v>
      </c>
    </row>
    <row r="13" spans="1:7" x14ac:dyDescent="0.2">
      <c r="A13" s="18">
        <v>12</v>
      </c>
      <c r="B13" s="19" t="s">
        <v>8</v>
      </c>
      <c r="C13" s="20">
        <v>1400</v>
      </c>
      <c r="D13" s="21">
        <v>310</v>
      </c>
      <c r="E13" s="11">
        <f t="shared" si="0"/>
        <v>1.056674689034927</v>
      </c>
      <c r="F13" s="56" t="s">
        <v>50</v>
      </c>
      <c r="G13" s="22" t="s">
        <v>18</v>
      </c>
    </row>
    <row r="14" spans="1:7" x14ac:dyDescent="0.2">
      <c r="A14" s="18">
        <v>13</v>
      </c>
      <c r="B14" s="19" t="s">
        <v>8</v>
      </c>
      <c r="C14" s="20">
        <v>1600</v>
      </c>
      <c r="D14" s="21">
        <v>210</v>
      </c>
      <c r="E14" s="11">
        <f t="shared" si="0"/>
        <v>0.55417694409323948</v>
      </c>
      <c r="F14" s="56" t="s">
        <v>51</v>
      </c>
      <c r="G14" s="22" t="s">
        <v>19</v>
      </c>
    </row>
    <row r="15" spans="1:7" x14ac:dyDescent="0.2">
      <c r="A15" s="18">
        <v>14</v>
      </c>
      <c r="B15" s="19" t="s">
        <v>8</v>
      </c>
      <c r="C15" s="20">
        <v>1300</v>
      </c>
      <c r="D15" s="21">
        <v>410</v>
      </c>
      <c r="E15" s="11">
        <f t="shared" si="0"/>
        <v>1.7163306064724433</v>
      </c>
      <c r="F15" s="56" t="s">
        <v>50</v>
      </c>
      <c r="G15" s="22" t="s">
        <v>17</v>
      </c>
    </row>
    <row r="16" spans="1:7" x14ac:dyDescent="0.2">
      <c r="A16" s="18">
        <v>15</v>
      </c>
      <c r="B16" s="19"/>
      <c r="C16" s="20"/>
      <c r="D16" s="21"/>
      <c r="E16" s="11" t="str">
        <f t="shared" si="0"/>
        <v>-</v>
      </c>
      <c r="F16" s="56"/>
      <c r="G16" s="22"/>
    </row>
    <row r="17" spans="1:7" x14ac:dyDescent="0.2">
      <c r="A17" s="18">
        <v>16</v>
      </c>
      <c r="B17" s="19"/>
      <c r="C17" s="20"/>
      <c r="D17" s="21"/>
      <c r="E17" s="11" t="str">
        <f t="shared" si="0"/>
        <v>-</v>
      </c>
      <c r="F17" s="56"/>
      <c r="G17" s="22"/>
    </row>
    <row r="18" spans="1:7" x14ac:dyDescent="0.2">
      <c r="A18" s="18">
        <v>17</v>
      </c>
      <c r="B18" s="19"/>
      <c r="C18" s="20"/>
      <c r="D18" s="21"/>
      <c r="E18" s="11" t="str">
        <f t="shared" si="0"/>
        <v>-</v>
      </c>
      <c r="F18" s="56"/>
      <c r="G18" s="22"/>
    </row>
    <row r="19" spans="1:7" x14ac:dyDescent="0.2">
      <c r="A19" s="18">
        <v>18</v>
      </c>
      <c r="B19" s="19"/>
      <c r="C19" s="20"/>
      <c r="D19" s="21"/>
      <c r="E19" s="11" t="str">
        <f t="shared" si="0"/>
        <v>-</v>
      </c>
      <c r="F19" s="56"/>
      <c r="G19" s="22"/>
    </row>
    <row r="20" spans="1:7" x14ac:dyDescent="0.2">
      <c r="A20" s="18">
        <v>19</v>
      </c>
      <c r="B20" s="19"/>
      <c r="C20" s="20"/>
      <c r="D20" s="21"/>
      <c r="E20" s="11" t="str">
        <f t="shared" si="0"/>
        <v>-</v>
      </c>
      <c r="F20" s="56"/>
      <c r="G20" s="22"/>
    </row>
    <row r="21" spans="1:7" x14ac:dyDescent="0.2">
      <c r="A21" s="18">
        <v>20</v>
      </c>
      <c r="B21" s="19"/>
      <c r="C21" s="20"/>
      <c r="D21" s="21"/>
      <c r="E21" s="11" t="str">
        <f t="shared" si="0"/>
        <v>-</v>
      </c>
      <c r="F21" s="56"/>
      <c r="G21" s="22"/>
    </row>
    <row r="22" spans="1:7" x14ac:dyDescent="0.2">
      <c r="A22" s="18">
        <v>21</v>
      </c>
      <c r="B22" s="19"/>
      <c r="C22" s="20"/>
      <c r="D22" s="21"/>
      <c r="E22" s="11" t="str">
        <f t="shared" si="0"/>
        <v>-</v>
      </c>
      <c r="F22" s="56"/>
      <c r="G22" s="22"/>
    </row>
    <row r="23" spans="1:7" x14ac:dyDescent="0.2">
      <c r="A23" s="18">
        <v>22</v>
      </c>
      <c r="B23" s="19"/>
      <c r="C23" s="20"/>
      <c r="D23" s="21"/>
      <c r="E23" s="11" t="str">
        <f t="shared" si="0"/>
        <v>-</v>
      </c>
      <c r="F23" s="56"/>
      <c r="G23" s="22"/>
    </row>
    <row r="24" spans="1:7" x14ac:dyDescent="0.2">
      <c r="A24" s="18">
        <v>23</v>
      </c>
      <c r="B24" s="19"/>
      <c r="C24" s="20"/>
      <c r="D24" s="21"/>
      <c r="E24" s="11" t="str">
        <f t="shared" si="0"/>
        <v>-</v>
      </c>
      <c r="F24" s="56"/>
      <c r="G24" s="22"/>
    </row>
    <row r="25" spans="1:7" x14ac:dyDescent="0.2">
      <c r="A25" s="18">
        <v>24</v>
      </c>
      <c r="B25" s="19"/>
      <c r="C25" s="20"/>
      <c r="D25" s="21"/>
      <c r="E25" s="11" t="str">
        <f t="shared" si="0"/>
        <v>-</v>
      </c>
      <c r="F25" s="56"/>
      <c r="G25" s="22"/>
    </row>
    <row r="26" spans="1:7" x14ac:dyDescent="0.2">
      <c r="A26" s="18">
        <v>25</v>
      </c>
      <c r="B26" s="19"/>
      <c r="C26" s="20"/>
      <c r="D26" s="21"/>
      <c r="E26" s="11" t="str">
        <f t="shared" si="0"/>
        <v>-</v>
      </c>
      <c r="F26" s="56"/>
      <c r="G26" s="22"/>
    </row>
    <row r="27" spans="1:7" x14ac:dyDescent="0.2">
      <c r="A27" s="18">
        <v>26</v>
      </c>
      <c r="B27" s="19"/>
      <c r="C27" s="20"/>
      <c r="D27" s="21"/>
      <c r="E27" s="11" t="str">
        <f t="shared" si="0"/>
        <v>-</v>
      </c>
      <c r="F27" s="56"/>
      <c r="G27" s="22"/>
    </row>
    <row r="28" spans="1:7" x14ac:dyDescent="0.2">
      <c r="A28" s="18">
        <v>27</v>
      </c>
      <c r="B28" s="19"/>
      <c r="C28" s="20"/>
      <c r="D28" s="21"/>
      <c r="E28" s="11" t="str">
        <f t="shared" si="0"/>
        <v>-</v>
      </c>
      <c r="F28" s="56"/>
      <c r="G28" s="22"/>
    </row>
    <row r="29" spans="1:7" x14ac:dyDescent="0.2">
      <c r="A29" s="18">
        <v>28</v>
      </c>
      <c r="B29" s="19"/>
      <c r="C29" s="20"/>
      <c r="D29" s="21"/>
      <c r="E29" s="11" t="str">
        <f t="shared" si="0"/>
        <v>-</v>
      </c>
      <c r="F29" s="56"/>
      <c r="G29" s="22"/>
    </row>
    <row r="30" spans="1:7" x14ac:dyDescent="0.2">
      <c r="A30" s="18">
        <v>29</v>
      </c>
      <c r="B30" s="19"/>
      <c r="C30" s="20"/>
      <c r="D30" s="21"/>
      <c r="E30" s="11" t="str">
        <f t="shared" si="0"/>
        <v>-</v>
      </c>
      <c r="F30" s="56"/>
      <c r="G30" s="22"/>
    </row>
    <row r="31" spans="1:7" x14ac:dyDescent="0.2">
      <c r="A31" s="18">
        <v>30</v>
      </c>
      <c r="B31" s="19"/>
      <c r="C31" s="20"/>
      <c r="D31" s="21"/>
      <c r="E31" s="11" t="str">
        <f t="shared" si="0"/>
        <v>-</v>
      </c>
      <c r="F31" s="56"/>
      <c r="G31" s="22"/>
    </row>
    <row r="32" spans="1:7" x14ac:dyDescent="0.2">
      <c r="A32" s="18">
        <v>31</v>
      </c>
      <c r="B32" s="19"/>
      <c r="C32" s="20"/>
      <c r="D32" s="21"/>
      <c r="E32" s="11" t="str">
        <f t="shared" si="0"/>
        <v>-</v>
      </c>
      <c r="F32" s="56"/>
      <c r="G32" s="22"/>
    </row>
    <row r="33" spans="1:7" x14ac:dyDescent="0.2">
      <c r="A33" s="18">
        <v>32</v>
      </c>
      <c r="B33" s="19"/>
      <c r="C33" s="20"/>
      <c r="D33" s="21"/>
      <c r="E33" s="11" t="str">
        <f t="shared" si="0"/>
        <v>-</v>
      </c>
      <c r="F33" s="56"/>
      <c r="G33" s="22"/>
    </row>
    <row r="34" spans="1:7" x14ac:dyDescent="0.2">
      <c r="A34" s="18">
        <v>33</v>
      </c>
      <c r="B34" s="19"/>
      <c r="C34" s="20"/>
      <c r="D34" s="21"/>
      <c r="E34" s="11" t="str">
        <f t="shared" ref="E34:E51" si="1">IF(ISBLANK(C34),"-",POWER(D34/2000,2)*PI()*C34/100)</f>
        <v>-</v>
      </c>
      <c r="F34" s="56"/>
      <c r="G34" s="22"/>
    </row>
    <row r="35" spans="1:7" x14ac:dyDescent="0.2">
      <c r="A35" s="18">
        <v>34</v>
      </c>
      <c r="B35" s="19"/>
      <c r="C35" s="20"/>
      <c r="D35" s="21"/>
      <c r="E35" s="11" t="str">
        <f t="shared" si="1"/>
        <v>-</v>
      </c>
      <c r="F35" s="56"/>
      <c r="G35" s="22"/>
    </row>
    <row r="36" spans="1:7" x14ac:dyDescent="0.2">
      <c r="A36" s="18">
        <v>35</v>
      </c>
      <c r="B36" s="19"/>
      <c r="C36" s="20"/>
      <c r="D36" s="21"/>
      <c r="E36" s="11" t="str">
        <f t="shared" si="1"/>
        <v>-</v>
      </c>
      <c r="F36" s="56"/>
      <c r="G36" s="22"/>
    </row>
    <row r="37" spans="1:7" x14ac:dyDescent="0.2">
      <c r="A37" s="18">
        <v>36</v>
      </c>
      <c r="B37" s="19"/>
      <c r="C37" s="20"/>
      <c r="D37" s="21"/>
      <c r="E37" s="11" t="str">
        <f t="shared" si="1"/>
        <v>-</v>
      </c>
      <c r="F37" s="56"/>
      <c r="G37" s="22"/>
    </row>
    <row r="38" spans="1:7" x14ac:dyDescent="0.2">
      <c r="A38" s="18">
        <v>37</v>
      </c>
      <c r="B38" s="19"/>
      <c r="C38" s="20"/>
      <c r="D38" s="21"/>
      <c r="E38" s="11" t="str">
        <f t="shared" si="1"/>
        <v>-</v>
      </c>
      <c r="F38" s="56"/>
      <c r="G38" s="22"/>
    </row>
    <row r="39" spans="1:7" x14ac:dyDescent="0.2">
      <c r="A39" s="18">
        <v>38</v>
      </c>
      <c r="B39" s="19"/>
      <c r="C39" s="20"/>
      <c r="D39" s="21"/>
      <c r="E39" s="11" t="str">
        <f t="shared" si="1"/>
        <v>-</v>
      </c>
      <c r="F39" s="56"/>
      <c r="G39" s="22"/>
    </row>
    <row r="40" spans="1:7" x14ac:dyDescent="0.2">
      <c r="A40" s="18">
        <v>39</v>
      </c>
      <c r="B40" s="19"/>
      <c r="C40" s="20"/>
      <c r="D40" s="21"/>
      <c r="E40" s="11" t="str">
        <f t="shared" si="1"/>
        <v>-</v>
      </c>
      <c r="F40" s="56"/>
      <c r="G40" s="22"/>
    </row>
    <row r="41" spans="1:7" x14ac:dyDescent="0.2">
      <c r="A41" s="18">
        <v>40</v>
      </c>
      <c r="B41" s="19"/>
      <c r="C41" s="20"/>
      <c r="D41" s="21"/>
      <c r="E41" s="11" t="str">
        <f t="shared" si="1"/>
        <v>-</v>
      </c>
      <c r="F41" s="56"/>
      <c r="G41" s="22"/>
    </row>
    <row r="42" spans="1:7" x14ac:dyDescent="0.2">
      <c r="A42" s="18">
        <v>41</v>
      </c>
      <c r="B42" s="19"/>
      <c r="C42" s="20"/>
      <c r="D42" s="21"/>
      <c r="E42" s="11" t="str">
        <f t="shared" si="1"/>
        <v>-</v>
      </c>
      <c r="F42" s="56"/>
      <c r="G42" s="22"/>
    </row>
    <row r="43" spans="1:7" x14ac:dyDescent="0.2">
      <c r="A43" s="18">
        <v>42</v>
      </c>
      <c r="B43" s="19"/>
      <c r="C43" s="20"/>
      <c r="D43" s="21"/>
      <c r="E43" s="11" t="str">
        <f t="shared" si="1"/>
        <v>-</v>
      </c>
      <c r="F43" s="56"/>
      <c r="G43" s="22"/>
    </row>
    <row r="44" spans="1:7" x14ac:dyDescent="0.2">
      <c r="A44" s="18">
        <v>43</v>
      </c>
      <c r="B44" s="19"/>
      <c r="C44" s="20"/>
      <c r="D44" s="21"/>
      <c r="E44" s="11" t="str">
        <f t="shared" si="1"/>
        <v>-</v>
      </c>
      <c r="F44" s="56"/>
      <c r="G44" s="22"/>
    </row>
    <row r="45" spans="1:7" x14ac:dyDescent="0.2">
      <c r="A45" s="18">
        <v>44</v>
      </c>
      <c r="B45" s="19"/>
      <c r="C45" s="20"/>
      <c r="D45" s="21"/>
      <c r="E45" s="11" t="str">
        <f t="shared" si="1"/>
        <v>-</v>
      </c>
      <c r="F45" s="56"/>
      <c r="G45" s="22"/>
    </row>
    <row r="46" spans="1:7" x14ac:dyDescent="0.2">
      <c r="A46" s="18">
        <v>45</v>
      </c>
      <c r="B46" s="19"/>
      <c r="C46" s="20"/>
      <c r="D46" s="21"/>
      <c r="E46" s="11" t="str">
        <f t="shared" si="1"/>
        <v>-</v>
      </c>
      <c r="F46" s="56"/>
      <c r="G46" s="22"/>
    </row>
    <row r="47" spans="1:7" x14ac:dyDescent="0.2">
      <c r="A47" s="18">
        <v>46</v>
      </c>
      <c r="B47" s="19"/>
      <c r="C47" s="20"/>
      <c r="D47" s="21"/>
      <c r="E47" s="11" t="str">
        <f t="shared" si="1"/>
        <v>-</v>
      </c>
      <c r="F47" s="56"/>
      <c r="G47" s="22"/>
    </row>
    <row r="48" spans="1:7" x14ac:dyDescent="0.2">
      <c r="A48" s="18">
        <v>47</v>
      </c>
      <c r="B48" s="19"/>
      <c r="C48" s="20"/>
      <c r="D48" s="21"/>
      <c r="E48" s="11" t="str">
        <f t="shared" si="1"/>
        <v>-</v>
      </c>
      <c r="F48" s="56"/>
      <c r="G48" s="22"/>
    </row>
    <row r="49" spans="1:7" x14ac:dyDescent="0.2">
      <c r="A49" s="18">
        <v>48</v>
      </c>
      <c r="B49" s="19"/>
      <c r="C49" s="20"/>
      <c r="D49" s="21"/>
      <c r="E49" s="11" t="str">
        <f t="shared" si="1"/>
        <v>-</v>
      </c>
      <c r="F49" s="56"/>
      <c r="G49" s="22"/>
    </row>
    <row r="50" spans="1:7" x14ac:dyDescent="0.2">
      <c r="A50" s="18">
        <v>49</v>
      </c>
      <c r="B50" s="19"/>
      <c r="C50" s="20"/>
      <c r="D50" s="21"/>
      <c r="E50" s="11" t="str">
        <f t="shared" si="1"/>
        <v>-</v>
      </c>
      <c r="F50" s="56"/>
      <c r="G50" s="22"/>
    </row>
    <row r="51" spans="1:7" x14ac:dyDescent="0.2">
      <c r="A51" s="18">
        <v>50</v>
      </c>
      <c r="B51" s="19"/>
      <c r="C51" s="20"/>
      <c r="D51" s="21"/>
      <c r="E51" s="11" t="str">
        <f t="shared" si="1"/>
        <v>-</v>
      </c>
      <c r="F51" s="56"/>
      <c r="G51" s="22"/>
    </row>
  </sheetData>
  <dataValidations count="1">
    <dataValidation type="list" allowBlank="1" showInputMessage="1" showErrorMessage="1" sqref="B1:B1048576" xr:uid="{9DD022DE-1063-3C4E-85A4-69F6AED58137}">
      <formula1>Holzarten</formula1>
    </dataValidation>
  </dataValidations>
  <pageMargins left="0.7" right="0.7" top="0.78740157499999996" bottom="0.78740157499999996" header="0.3" footer="0.3"/>
  <pageSetup paperSize="9" orientation="portrait" horizontalDpi="12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7A91D-342D-4C7F-92C1-649BC15F7ED8}">
  <sheetPr codeName="Tabelle5"/>
  <dimension ref="A1:N51"/>
  <sheetViews>
    <sheetView workbookViewId="0">
      <selection activeCell="E7" sqref="E7"/>
    </sheetView>
  </sheetViews>
  <sheetFormatPr baseColWidth="10" defaultColWidth="8.83203125" defaultRowHeight="15" x14ac:dyDescent="0.2"/>
  <cols>
    <col min="1" max="1" width="8.83203125" style="17"/>
    <col min="2" max="2" width="17" style="17" customWidth="1"/>
    <col min="3" max="3" width="8.5" style="24" bestFit="1" customWidth="1"/>
    <col min="4" max="4" width="8.5" style="17" customWidth="1"/>
    <col min="5" max="5" width="6.5" style="24" bestFit="1" customWidth="1"/>
    <col min="6" max="6" width="9.1640625" style="50" bestFit="1" customWidth="1"/>
    <col min="7" max="7" width="8.83203125" style="25"/>
    <col min="8" max="10" width="13.1640625" style="25" customWidth="1"/>
    <col min="11" max="11" width="8.83203125" style="24"/>
    <col min="12" max="12" width="18.83203125" style="24" bestFit="1" customWidth="1"/>
    <col min="13" max="13" width="12" style="24" customWidth="1"/>
    <col min="14" max="14" width="13" style="24" customWidth="1"/>
    <col min="15" max="16384" width="8.83203125" style="24"/>
  </cols>
  <sheetData>
    <row r="1" spans="1:14" x14ac:dyDescent="0.2">
      <c r="A1" s="16" t="s">
        <v>5</v>
      </c>
      <c r="B1" s="16" t="s">
        <v>30</v>
      </c>
      <c r="C1" s="23" t="s">
        <v>6</v>
      </c>
      <c r="D1" s="16" t="s">
        <v>52</v>
      </c>
      <c r="E1" s="23" t="s">
        <v>15</v>
      </c>
      <c r="F1" s="48" t="s">
        <v>2</v>
      </c>
      <c r="G1" s="23" t="s">
        <v>22</v>
      </c>
      <c r="H1" s="23" t="s">
        <v>26</v>
      </c>
      <c r="I1" s="23" t="s">
        <v>43</v>
      </c>
      <c r="J1" s="23" t="s">
        <v>44</v>
      </c>
    </row>
    <row r="2" spans="1:14" x14ac:dyDescent="0.2">
      <c r="A2" s="18">
        <v>1</v>
      </c>
      <c r="B2" s="38" t="str">
        <f>CONCATENATE(C2,"-",D2,"-",E2)</f>
        <v>Fichte-B-L3a</v>
      </c>
      <c r="C2" s="26" t="s">
        <v>7</v>
      </c>
      <c r="D2" s="57" t="s">
        <v>50</v>
      </c>
      <c r="E2" s="26" t="s">
        <v>31</v>
      </c>
      <c r="F2" s="49">
        <v>1.343</v>
      </c>
      <c r="G2" s="27">
        <v>83</v>
      </c>
      <c r="H2" s="28">
        <f t="shared" ref="H2:H10" si="0">F2*G2</f>
        <v>111.46899999999999</v>
      </c>
      <c r="I2" s="28">
        <f>IF(G2="",0,G2-M$4-M$5)</f>
        <v>82.2</v>
      </c>
      <c r="J2" s="28">
        <f>F2*I2</f>
        <v>110.3946</v>
      </c>
      <c r="L2" s="43" t="s">
        <v>38</v>
      </c>
      <c r="M2" s="43"/>
      <c r="N2" s="44">
        <f>SUM(H:H)</f>
        <v>952.71699999999998</v>
      </c>
    </row>
    <row r="3" spans="1:14" x14ac:dyDescent="0.2">
      <c r="A3" s="18">
        <v>2</v>
      </c>
      <c r="B3" s="38" t="str">
        <f t="shared" ref="B3:B51" si="1">CONCATENATE(C3,"-",D3,"-",E3)</f>
        <v>Tanne-B-L1b2</v>
      </c>
      <c r="C3" s="26" t="s">
        <v>8</v>
      </c>
      <c r="D3" s="57" t="s">
        <v>50</v>
      </c>
      <c r="E3" s="26" t="s">
        <v>32</v>
      </c>
      <c r="F3" s="49">
        <v>0.36899999999999999</v>
      </c>
      <c r="G3" s="27">
        <v>58</v>
      </c>
      <c r="H3" s="28">
        <f t="shared" si="0"/>
        <v>21.402000000000001</v>
      </c>
      <c r="I3" s="28">
        <f t="shared" ref="I3:I51" si="2">IF(G3="",0,G3-M$4-M$5)</f>
        <v>57.2</v>
      </c>
      <c r="J3" s="28">
        <f t="shared" ref="J3:J51" si="3">F3*I3</f>
        <v>21.1068</v>
      </c>
      <c r="L3" s="43" t="s">
        <v>42</v>
      </c>
      <c r="M3" s="43"/>
      <c r="N3" s="45">
        <f>SUM(F:F)</f>
        <v>14.744999999999999</v>
      </c>
    </row>
    <row r="4" spans="1:14" x14ac:dyDescent="0.2">
      <c r="A4" s="18">
        <v>3</v>
      </c>
      <c r="B4" s="38" t="str">
        <f t="shared" si="1"/>
        <v>Tanne-B-L2a</v>
      </c>
      <c r="C4" s="26" t="s">
        <v>8</v>
      </c>
      <c r="D4" s="57" t="s">
        <v>50</v>
      </c>
      <c r="E4" s="26" t="s">
        <v>33</v>
      </c>
      <c r="F4" s="49">
        <v>0.65800000000000003</v>
      </c>
      <c r="G4" s="27">
        <v>68</v>
      </c>
      <c r="H4" s="28">
        <f t="shared" si="0"/>
        <v>44.744</v>
      </c>
      <c r="I4" s="28">
        <f t="shared" si="2"/>
        <v>67.2</v>
      </c>
      <c r="J4" s="28">
        <f t="shared" si="3"/>
        <v>44.217600000000004</v>
      </c>
      <c r="L4" s="43" t="s">
        <v>39</v>
      </c>
      <c r="M4" s="42">
        <v>0.5</v>
      </c>
      <c r="N4" s="44">
        <f>SUM(F:F)*M4</f>
        <v>7.3724999999999996</v>
      </c>
    </row>
    <row r="5" spans="1:14" x14ac:dyDescent="0.2">
      <c r="A5" s="18">
        <v>4</v>
      </c>
      <c r="B5" s="38" t="str">
        <f t="shared" si="1"/>
        <v>Tanne-B-L2b</v>
      </c>
      <c r="C5" s="26" t="s">
        <v>8</v>
      </c>
      <c r="D5" s="57" t="s">
        <v>50</v>
      </c>
      <c r="E5" s="26" t="s">
        <v>34</v>
      </c>
      <c r="F5" s="49">
        <v>2.637</v>
      </c>
      <c r="G5" s="27">
        <v>77</v>
      </c>
      <c r="H5" s="28">
        <f t="shared" si="0"/>
        <v>203.04900000000001</v>
      </c>
      <c r="I5" s="28">
        <f t="shared" si="2"/>
        <v>76.2</v>
      </c>
      <c r="J5" s="28">
        <f t="shared" si="3"/>
        <v>200.93940000000001</v>
      </c>
      <c r="L5" s="43" t="s">
        <v>40</v>
      </c>
      <c r="M5" s="42">
        <v>0.3</v>
      </c>
      <c r="N5" s="44">
        <f>SUM(F:F)*M5</f>
        <v>4.4234999999999998</v>
      </c>
    </row>
    <row r="6" spans="1:14" x14ac:dyDescent="0.2">
      <c r="A6" s="18">
        <v>5</v>
      </c>
      <c r="B6" s="38" t="str">
        <f t="shared" si="1"/>
        <v>Tanne-B-L3a</v>
      </c>
      <c r="C6" s="26" t="s">
        <v>8</v>
      </c>
      <c r="D6" s="57" t="s">
        <v>50</v>
      </c>
      <c r="E6" s="26" t="s">
        <v>31</v>
      </c>
      <c r="F6" s="49">
        <v>1.0569999999999999</v>
      </c>
      <c r="G6" s="27">
        <v>77</v>
      </c>
      <c r="H6" s="28">
        <f t="shared" si="0"/>
        <v>81.388999999999996</v>
      </c>
      <c r="I6" s="28">
        <f t="shared" si="2"/>
        <v>76.2</v>
      </c>
      <c r="J6" s="28">
        <f t="shared" si="3"/>
        <v>80.543400000000005</v>
      </c>
      <c r="L6" s="43"/>
      <c r="M6" s="43"/>
      <c r="N6" s="44"/>
    </row>
    <row r="7" spans="1:14" x14ac:dyDescent="0.2">
      <c r="A7" s="18">
        <v>6</v>
      </c>
      <c r="B7" s="38" t="str">
        <f t="shared" si="1"/>
        <v>Tanne-B-L3b</v>
      </c>
      <c r="C7" s="26" t="s">
        <v>8</v>
      </c>
      <c r="D7" s="57" t="s">
        <v>50</v>
      </c>
      <c r="E7" s="26" t="s">
        <v>35</v>
      </c>
      <c r="F7" s="49">
        <v>1.474</v>
      </c>
      <c r="G7" s="27">
        <v>75</v>
      </c>
      <c r="H7" s="28">
        <f t="shared" si="0"/>
        <v>110.55</v>
      </c>
      <c r="I7" s="28">
        <f t="shared" si="2"/>
        <v>74.2</v>
      </c>
      <c r="J7" s="28">
        <f t="shared" si="3"/>
        <v>109.3708</v>
      </c>
      <c r="L7" s="46" t="s">
        <v>41</v>
      </c>
      <c r="M7" s="46"/>
      <c r="N7" s="47">
        <f>N2-N4-N5</f>
        <v>940.92100000000005</v>
      </c>
    </row>
    <row r="8" spans="1:14" x14ac:dyDescent="0.2">
      <c r="A8" s="18">
        <v>7</v>
      </c>
      <c r="B8" s="38" t="str">
        <f t="shared" si="1"/>
        <v>Tanne-B-L4a</v>
      </c>
      <c r="C8" s="26" t="s">
        <v>8</v>
      </c>
      <c r="D8" s="57" t="s">
        <v>50</v>
      </c>
      <c r="E8" s="26" t="s">
        <v>36</v>
      </c>
      <c r="F8" s="49">
        <v>1.716</v>
      </c>
      <c r="G8" s="27">
        <v>72</v>
      </c>
      <c r="H8" s="28">
        <f t="shared" si="0"/>
        <v>123.55199999999999</v>
      </c>
      <c r="I8" s="28">
        <f t="shared" si="2"/>
        <v>71.2</v>
      </c>
      <c r="J8" s="28">
        <f t="shared" si="3"/>
        <v>122.17920000000001</v>
      </c>
      <c r="N8" s="53">
        <f>SUM(J:J)</f>
        <v>940.92100000000016</v>
      </c>
    </row>
    <row r="9" spans="1:14" x14ac:dyDescent="0.2">
      <c r="A9" s="18">
        <v>8</v>
      </c>
      <c r="B9" s="38" t="str">
        <f t="shared" si="1"/>
        <v>Tanne-C-L2a</v>
      </c>
      <c r="C9" s="26" t="s">
        <v>8</v>
      </c>
      <c r="D9" s="57" t="s">
        <v>51</v>
      </c>
      <c r="E9" s="26" t="s">
        <v>33</v>
      </c>
      <c r="F9" s="49">
        <v>0.99399999999999999</v>
      </c>
      <c r="G9" s="27">
        <v>50</v>
      </c>
      <c r="H9" s="28">
        <f t="shared" si="0"/>
        <v>49.7</v>
      </c>
      <c r="I9" s="28">
        <f t="shared" si="2"/>
        <v>49.2</v>
      </c>
      <c r="J9" s="28">
        <f t="shared" si="3"/>
        <v>48.904800000000002</v>
      </c>
    </row>
    <row r="10" spans="1:14" x14ac:dyDescent="0.2">
      <c r="A10" s="18">
        <v>9</v>
      </c>
      <c r="B10" s="38" t="str">
        <f t="shared" si="1"/>
        <v>Tanne-C-L4a</v>
      </c>
      <c r="C10" s="26" t="s">
        <v>8</v>
      </c>
      <c r="D10" s="57" t="s">
        <v>51</v>
      </c>
      <c r="E10" s="26" t="s">
        <v>36</v>
      </c>
      <c r="F10" s="49">
        <v>4.4969999999999999</v>
      </c>
      <c r="G10" s="27">
        <v>46</v>
      </c>
      <c r="H10" s="28">
        <f t="shared" si="0"/>
        <v>206.86199999999999</v>
      </c>
      <c r="I10" s="28">
        <f t="shared" si="2"/>
        <v>45.2</v>
      </c>
      <c r="J10" s="28">
        <f t="shared" si="3"/>
        <v>203.26439999999999</v>
      </c>
    </row>
    <row r="11" spans="1:14" x14ac:dyDescent="0.2">
      <c r="A11" s="18">
        <v>10</v>
      </c>
      <c r="B11" s="38" t="str">
        <f t="shared" si="1"/>
        <v>--</v>
      </c>
      <c r="C11" s="26"/>
      <c r="D11" s="57"/>
      <c r="E11" s="26"/>
      <c r="F11" s="49"/>
      <c r="G11" s="27"/>
      <c r="H11" s="28"/>
      <c r="I11" s="28">
        <f t="shared" si="2"/>
        <v>0</v>
      </c>
      <c r="J11" s="28">
        <f t="shared" si="3"/>
        <v>0</v>
      </c>
    </row>
    <row r="12" spans="1:14" x14ac:dyDescent="0.2">
      <c r="A12" s="18">
        <v>11</v>
      </c>
      <c r="B12" s="38" t="str">
        <f t="shared" si="1"/>
        <v>--</v>
      </c>
      <c r="C12" s="26"/>
      <c r="D12" s="57"/>
      <c r="E12" s="26"/>
      <c r="F12" s="49"/>
      <c r="G12" s="27"/>
      <c r="H12" s="28"/>
      <c r="I12" s="28">
        <f t="shared" si="2"/>
        <v>0</v>
      </c>
      <c r="J12" s="28">
        <f t="shared" si="3"/>
        <v>0</v>
      </c>
    </row>
    <row r="13" spans="1:14" x14ac:dyDescent="0.2">
      <c r="A13" s="18">
        <v>12</v>
      </c>
      <c r="B13" s="38" t="str">
        <f t="shared" si="1"/>
        <v>--</v>
      </c>
      <c r="C13" s="26"/>
      <c r="D13" s="57"/>
      <c r="E13" s="26"/>
      <c r="F13" s="49"/>
      <c r="G13" s="27"/>
      <c r="H13" s="28"/>
      <c r="I13" s="28">
        <f t="shared" si="2"/>
        <v>0</v>
      </c>
      <c r="J13" s="28">
        <f t="shared" si="3"/>
        <v>0</v>
      </c>
    </row>
    <row r="14" spans="1:14" x14ac:dyDescent="0.2">
      <c r="A14" s="18">
        <v>13</v>
      </c>
      <c r="B14" s="38" t="str">
        <f t="shared" si="1"/>
        <v>--</v>
      </c>
      <c r="C14" s="26"/>
      <c r="D14" s="57"/>
      <c r="E14" s="26"/>
      <c r="F14" s="49"/>
      <c r="G14" s="27"/>
      <c r="H14" s="28"/>
      <c r="I14" s="28">
        <f t="shared" si="2"/>
        <v>0</v>
      </c>
      <c r="J14" s="28">
        <f t="shared" si="3"/>
        <v>0</v>
      </c>
    </row>
    <row r="15" spans="1:14" x14ac:dyDescent="0.2">
      <c r="A15" s="18">
        <v>14</v>
      </c>
      <c r="B15" s="38" t="str">
        <f t="shared" si="1"/>
        <v>--</v>
      </c>
      <c r="C15" s="26"/>
      <c r="D15" s="57"/>
      <c r="E15" s="26"/>
      <c r="F15" s="49"/>
      <c r="G15" s="27"/>
      <c r="H15" s="28"/>
      <c r="I15" s="28">
        <f t="shared" si="2"/>
        <v>0</v>
      </c>
      <c r="J15" s="28">
        <f t="shared" si="3"/>
        <v>0</v>
      </c>
    </row>
    <row r="16" spans="1:14" x14ac:dyDescent="0.2">
      <c r="A16" s="18">
        <v>15</v>
      </c>
      <c r="B16" s="38" t="str">
        <f t="shared" si="1"/>
        <v>--</v>
      </c>
      <c r="C16" s="26"/>
      <c r="D16" s="57"/>
      <c r="E16" s="26"/>
      <c r="F16" s="49"/>
      <c r="G16" s="27"/>
      <c r="H16" s="28"/>
      <c r="I16" s="28">
        <f t="shared" si="2"/>
        <v>0</v>
      </c>
      <c r="J16" s="28">
        <f t="shared" si="3"/>
        <v>0</v>
      </c>
    </row>
    <row r="17" spans="1:10" x14ac:dyDescent="0.2">
      <c r="A17" s="18">
        <v>16</v>
      </c>
      <c r="B17" s="38" t="str">
        <f t="shared" si="1"/>
        <v>--</v>
      </c>
      <c r="C17" s="26"/>
      <c r="D17" s="57"/>
      <c r="E17" s="26"/>
      <c r="F17" s="49"/>
      <c r="G17" s="27"/>
      <c r="H17" s="28"/>
      <c r="I17" s="28">
        <f t="shared" si="2"/>
        <v>0</v>
      </c>
      <c r="J17" s="28">
        <f t="shared" si="3"/>
        <v>0</v>
      </c>
    </row>
    <row r="18" spans="1:10" x14ac:dyDescent="0.2">
      <c r="A18" s="18">
        <v>17</v>
      </c>
      <c r="B18" s="38" t="str">
        <f t="shared" si="1"/>
        <v>--</v>
      </c>
      <c r="C18" s="26"/>
      <c r="D18" s="57"/>
      <c r="E18" s="26"/>
      <c r="F18" s="49"/>
      <c r="G18" s="27"/>
      <c r="H18" s="28"/>
      <c r="I18" s="28">
        <f t="shared" si="2"/>
        <v>0</v>
      </c>
      <c r="J18" s="28">
        <f t="shared" si="3"/>
        <v>0</v>
      </c>
    </row>
    <row r="19" spans="1:10" x14ac:dyDescent="0.2">
      <c r="A19" s="18">
        <v>18</v>
      </c>
      <c r="B19" s="38" t="str">
        <f t="shared" si="1"/>
        <v>--</v>
      </c>
      <c r="C19" s="26"/>
      <c r="D19" s="57"/>
      <c r="E19" s="26"/>
      <c r="F19" s="49"/>
      <c r="G19" s="27"/>
      <c r="H19" s="28"/>
      <c r="I19" s="28">
        <f t="shared" si="2"/>
        <v>0</v>
      </c>
      <c r="J19" s="28">
        <f t="shared" si="3"/>
        <v>0</v>
      </c>
    </row>
    <row r="20" spans="1:10" x14ac:dyDescent="0.2">
      <c r="A20" s="18">
        <v>19</v>
      </c>
      <c r="B20" s="38" t="str">
        <f t="shared" si="1"/>
        <v>--</v>
      </c>
      <c r="C20" s="26"/>
      <c r="D20" s="57"/>
      <c r="E20" s="26"/>
      <c r="F20" s="49"/>
      <c r="G20" s="27"/>
      <c r="H20" s="28"/>
      <c r="I20" s="28">
        <f t="shared" si="2"/>
        <v>0</v>
      </c>
      <c r="J20" s="28">
        <f t="shared" si="3"/>
        <v>0</v>
      </c>
    </row>
    <row r="21" spans="1:10" x14ac:dyDescent="0.2">
      <c r="A21" s="18">
        <v>20</v>
      </c>
      <c r="B21" s="38" t="str">
        <f t="shared" si="1"/>
        <v>--</v>
      </c>
      <c r="C21" s="26"/>
      <c r="D21" s="57"/>
      <c r="E21" s="26"/>
      <c r="F21" s="49"/>
      <c r="G21" s="27"/>
      <c r="H21" s="28"/>
      <c r="I21" s="28">
        <f t="shared" si="2"/>
        <v>0</v>
      </c>
      <c r="J21" s="28">
        <f t="shared" si="3"/>
        <v>0</v>
      </c>
    </row>
    <row r="22" spans="1:10" x14ac:dyDescent="0.2">
      <c r="A22" s="18">
        <v>21</v>
      </c>
      <c r="B22" s="38" t="str">
        <f t="shared" si="1"/>
        <v>--</v>
      </c>
      <c r="C22" s="26"/>
      <c r="D22" s="57"/>
      <c r="E22" s="26"/>
      <c r="F22" s="49"/>
      <c r="G22" s="27"/>
      <c r="H22" s="28"/>
      <c r="I22" s="28">
        <f t="shared" si="2"/>
        <v>0</v>
      </c>
      <c r="J22" s="28">
        <f t="shared" si="3"/>
        <v>0</v>
      </c>
    </row>
    <row r="23" spans="1:10" x14ac:dyDescent="0.2">
      <c r="A23" s="18">
        <v>22</v>
      </c>
      <c r="B23" s="38" t="str">
        <f t="shared" si="1"/>
        <v>--</v>
      </c>
      <c r="C23" s="26"/>
      <c r="D23" s="57"/>
      <c r="E23" s="26"/>
      <c r="F23" s="49"/>
      <c r="G23" s="27"/>
      <c r="H23" s="28"/>
      <c r="I23" s="28">
        <f t="shared" si="2"/>
        <v>0</v>
      </c>
      <c r="J23" s="28">
        <f t="shared" si="3"/>
        <v>0</v>
      </c>
    </row>
    <row r="24" spans="1:10" x14ac:dyDescent="0.2">
      <c r="A24" s="18">
        <v>23</v>
      </c>
      <c r="B24" s="38" t="str">
        <f t="shared" si="1"/>
        <v>--</v>
      </c>
      <c r="C24" s="26"/>
      <c r="D24" s="57"/>
      <c r="E24" s="26"/>
      <c r="F24" s="49"/>
      <c r="G24" s="27"/>
      <c r="H24" s="28"/>
      <c r="I24" s="28">
        <f t="shared" si="2"/>
        <v>0</v>
      </c>
      <c r="J24" s="28">
        <f t="shared" si="3"/>
        <v>0</v>
      </c>
    </row>
    <row r="25" spans="1:10" x14ac:dyDescent="0.2">
      <c r="A25" s="18">
        <v>24</v>
      </c>
      <c r="B25" s="38" t="str">
        <f t="shared" si="1"/>
        <v>--</v>
      </c>
      <c r="C25" s="26"/>
      <c r="D25" s="57"/>
      <c r="E25" s="26"/>
      <c r="F25" s="49"/>
      <c r="G25" s="27"/>
      <c r="H25" s="28"/>
      <c r="I25" s="28">
        <f t="shared" si="2"/>
        <v>0</v>
      </c>
      <c r="J25" s="28">
        <f t="shared" si="3"/>
        <v>0</v>
      </c>
    </row>
    <row r="26" spans="1:10" x14ac:dyDescent="0.2">
      <c r="A26" s="18">
        <v>25</v>
      </c>
      <c r="B26" s="38" t="str">
        <f t="shared" si="1"/>
        <v>--</v>
      </c>
      <c r="C26" s="26"/>
      <c r="D26" s="57"/>
      <c r="E26" s="26"/>
      <c r="F26" s="49"/>
      <c r="G26" s="27"/>
      <c r="H26" s="28"/>
      <c r="I26" s="28">
        <f t="shared" si="2"/>
        <v>0</v>
      </c>
      <c r="J26" s="28">
        <f t="shared" si="3"/>
        <v>0</v>
      </c>
    </row>
    <row r="27" spans="1:10" x14ac:dyDescent="0.2">
      <c r="A27" s="18">
        <v>26</v>
      </c>
      <c r="B27" s="38" t="str">
        <f t="shared" si="1"/>
        <v>--</v>
      </c>
      <c r="C27" s="26"/>
      <c r="D27" s="57"/>
      <c r="E27" s="26"/>
      <c r="F27" s="49"/>
      <c r="G27" s="27"/>
      <c r="H27" s="28"/>
      <c r="I27" s="28">
        <f t="shared" si="2"/>
        <v>0</v>
      </c>
      <c r="J27" s="28">
        <f t="shared" si="3"/>
        <v>0</v>
      </c>
    </row>
    <row r="28" spans="1:10" x14ac:dyDescent="0.2">
      <c r="A28" s="18">
        <v>27</v>
      </c>
      <c r="B28" s="38" t="str">
        <f t="shared" si="1"/>
        <v>--</v>
      </c>
      <c r="C28" s="26"/>
      <c r="D28" s="57"/>
      <c r="E28" s="26"/>
      <c r="F28" s="49"/>
      <c r="G28" s="27"/>
      <c r="H28" s="28"/>
      <c r="I28" s="28">
        <f t="shared" si="2"/>
        <v>0</v>
      </c>
      <c r="J28" s="28">
        <f t="shared" si="3"/>
        <v>0</v>
      </c>
    </row>
    <row r="29" spans="1:10" x14ac:dyDescent="0.2">
      <c r="A29" s="18">
        <v>28</v>
      </c>
      <c r="B29" s="38" t="str">
        <f t="shared" si="1"/>
        <v>--</v>
      </c>
      <c r="C29" s="26"/>
      <c r="D29" s="57"/>
      <c r="E29" s="26"/>
      <c r="F29" s="49"/>
      <c r="G29" s="27"/>
      <c r="H29" s="28"/>
      <c r="I29" s="28">
        <f t="shared" si="2"/>
        <v>0</v>
      </c>
      <c r="J29" s="28">
        <f t="shared" si="3"/>
        <v>0</v>
      </c>
    </row>
    <row r="30" spans="1:10" x14ac:dyDescent="0.2">
      <c r="A30" s="18">
        <v>29</v>
      </c>
      <c r="B30" s="38" t="str">
        <f t="shared" si="1"/>
        <v>--</v>
      </c>
      <c r="C30" s="26"/>
      <c r="D30" s="57"/>
      <c r="E30" s="26"/>
      <c r="F30" s="49"/>
      <c r="G30" s="27"/>
      <c r="H30" s="28"/>
      <c r="I30" s="28">
        <f t="shared" si="2"/>
        <v>0</v>
      </c>
      <c r="J30" s="28">
        <f t="shared" si="3"/>
        <v>0</v>
      </c>
    </row>
    <row r="31" spans="1:10" x14ac:dyDescent="0.2">
      <c r="A31" s="18">
        <v>30</v>
      </c>
      <c r="B31" s="38" t="str">
        <f t="shared" si="1"/>
        <v>--</v>
      </c>
      <c r="C31" s="26"/>
      <c r="D31" s="57"/>
      <c r="E31" s="26"/>
      <c r="F31" s="49"/>
      <c r="G31" s="27"/>
      <c r="H31" s="28"/>
      <c r="I31" s="28">
        <f t="shared" si="2"/>
        <v>0</v>
      </c>
      <c r="J31" s="28">
        <f t="shared" si="3"/>
        <v>0</v>
      </c>
    </row>
    <row r="32" spans="1:10" x14ac:dyDescent="0.2">
      <c r="A32" s="18">
        <v>31</v>
      </c>
      <c r="B32" s="38" t="str">
        <f t="shared" si="1"/>
        <v>--</v>
      </c>
      <c r="C32" s="26"/>
      <c r="D32" s="57"/>
      <c r="E32" s="26"/>
      <c r="F32" s="49"/>
      <c r="G32" s="27"/>
      <c r="H32" s="28"/>
      <c r="I32" s="28">
        <f t="shared" si="2"/>
        <v>0</v>
      </c>
      <c r="J32" s="28">
        <f t="shared" si="3"/>
        <v>0</v>
      </c>
    </row>
    <row r="33" spans="1:10" x14ac:dyDescent="0.2">
      <c r="A33" s="18">
        <v>32</v>
      </c>
      <c r="B33" s="38" t="str">
        <f t="shared" si="1"/>
        <v>--</v>
      </c>
      <c r="C33" s="26"/>
      <c r="D33" s="57"/>
      <c r="E33" s="26"/>
      <c r="F33" s="49"/>
      <c r="G33" s="27"/>
      <c r="H33" s="28"/>
      <c r="I33" s="28">
        <f t="shared" si="2"/>
        <v>0</v>
      </c>
      <c r="J33" s="28">
        <f t="shared" si="3"/>
        <v>0</v>
      </c>
    </row>
    <row r="34" spans="1:10" x14ac:dyDescent="0.2">
      <c r="A34" s="18">
        <v>33</v>
      </c>
      <c r="B34" s="38" t="str">
        <f t="shared" si="1"/>
        <v>--</v>
      </c>
      <c r="C34" s="26"/>
      <c r="D34" s="57"/>
      <c r="E34" s="26"/>
      <c r="F34" s="49"/>
      <c r="G34" s="27"/>
      <c r="H34" s="28"/>
      <c r="I34" s="28">
        <f t="shared" si="2"/>
        <v>0</v>
      </c>
      <c r="J34" s="28">
        <f t="shared" si="3"/>
        <v>0</v>
      </c>
    </row>
    <row r="35" spans="1:10" x14ac:dyDescent="0.2">
      <c r="A35" s="18">
        <v>34</v>
      </c>
      <c r="B35" s="38" t="str">
        <f t="shared" si="1"/>
        <v>--</v>
      </c>
      <c r="C35" s="26"/>
      <c r="D35" s="57"/>
      <c r="E35" s="26"/>
      <c r="F35" s="49"/>
      <c r="G35" s="27"/>
      <c r="H35" s="28"/>
      <c r="I35" s="28">
        <f t="shared" si="2"/>
        <v>0</v>
      </c>
      <c r="J35" s="28">
        <f t="shared" si="3"/>
        <v>0</v>
      </c>
    </row>
    <row r="36" spans="1:10" x14ac:dyDescent="0.2">
      <c r="A36" s="18">
        <v>35</v>
      </c>
      <c r="B36" s="38" t="str">
        <f t="shared" si="1"/>
        <v>--</v>
      </c>
      <c r="C36" s="26"/>
      <c r="D36" s="57"/>
      <c r="E36" s="26"/>
      <c r="F36" s="49"/>
      <c r="G36" s="27"/>
      <c r="H36" s="28"/>
      <c r="I36" s="28">
        <f t="shared" si="2"/>
        <v>0</v>
      </c>
      <c r="J36" s="28">
        <f t="shared" si="3"/>
        <v>0</v>
      </c>
    </row>
    <row r="37" spans="1:10" x14ac:dyDescent="0.2">
      <c r="A37" s="18">
        <v>36</v>
      </c>
      <c r="B37" s="38" t="str">
        <f t="shared" si="1"/>
        <v>--</v>
      </c>
      <c r="C37" s="26"/>
      <c r="D37" s="57"/>
      <c r="E37" s="26"/>
      <c r="F37" s="49"/>
      <c r="G37" s="27"/>
      <c r="H37" s="28"/>
      <c r="I37" s="28">
        <f t="shared" si="2"/>
        <v>0</v>
      </c>
      <c r="J37" s="28">
        <f t="shared" si="3"/>
        <v>0</v>
      </c>
    </row>
    <row r="38" spans="1:10" x14ac:dyDescent="0.2">
      <c r="A38" s="18">
        <v>37</v>
      </c>
      <c r="B38" s="38" t="str">
        <f t="shared" si="1"/>
        <v>--</v>
      </c>
      <c r="C38" s="26"/>
      <c r="D38" s="57"/>
      <c r="E38" s="26"/>
      <c r="F38" s="49"/>
      <c r="G38" s="27"/>
      <c r="H38" s="28"/>
      <c r="I38" s="28">
        <f t="shared" si="2"/>
        <v>0</v>
      </c>
      <c r="J38" s="28">
        <f t="shared" si="3"/>
        <v>0</v>
      </c>
    </row>
    <row r="39" spans="1:10" x14ac:dyDescent="0.2">
      <c r="A39" s="18">
        <v>38</v>
      </c>
      <c r="B39" s="38" t="str">
        <f t="shared" si="1"/>
        <v>--</v>
      </c>
      <c r="C39" s="26"/>
      <c r="D39" s="57"/>
      <c r="E39" s="26"/>
      <c r="F39" s="49"/>
      <c r="G39" s="27"/>
      <c r="H39" s="28"/>
      <c r="I39" s="28">
        <f t="shared" si="2"/>
        <v>0</v>
      </c>
      <c r="J39" s="28">
        <f t="shared" si="3"/>
        <v>0</v>
      </c>
    </row>
    <row r="40" spans="1:10" x14ac:dyDescent="0.2">
      <c r="A40" s="18">
        <v>39</v>
      </c>
      <c r="B40" s="38" t="str">
        <f t="shared" si="1"/>
        <v>--</v>
      </c>
      <c r="C40" s="26"/>
      <c r="D40" s="57"/>
      <c r="E40" s="26"/>
      <c r="F40" s="49"/>
      <c r="G40" s="27"/>
      <c r="H40" s="28"/>
      <c r="I40" s="28">
        <f t="shared" si="2"/>
        <v>0</v>
      </c>
      <c r="J40" s="28">
        <f t="shared" si="3"/>
        <v>0</v>
      </c>
    </row>
    <row r="41" spans="1:10" x14ac:dyDescent="0.2">
      <c r="A41" s="18">
        <v>40</v>
      </c>
      <c r="B41" s="38" t="str">
        <f t="shared" si="1"/>
        <v>--</v>
      </c>
      <c r="C41" s="26"/>
      <c r="D41" s="57"/>
      <c r="E41" s="26"/>
      <c r="F41" s="49"/>
      <c r="G41" s="27"/>
      <c r="H41" s="28"/>
      <c r="I41" s="28">
        <f t="shared" si="2"/>
        <v>0</v>
      </c>
      <c r="J41" s="28">
        <f t="shared" si="3"/>
        <v>0</v>
      </c>
    </row>
    <row r="42" spans="1:10" x14ac:dyDescent="0.2">
      <c r="A42" s="18">
        <v>41</v>
      </c>
      <c r="B42" s="38" t="str">
        <f t="shared" si="1"/>
        <v>--</v>
      </c>
      <c r="C42" s="26"/>
      <c r="D42" s="57"/>
      <c r="E42" s="26"/>
      <c r="F42" s="49"/>
      <c r="G42" s="27"/>
      <c r="H42" s="28"/>
      <c r="I42" s="28">
        <f t="shared" si="2"/>
        <v>0</v>
      </c>
      <c r="J42" s="28">
        <f t="shared" si="3"/>
        <v>0</v>
      </c>
    </row>
    <row r="43" spans="1:10" x14ac:dyDescent="0.2">
      <c r="A43" s="18">
        <v>42</v>
      </c>
      <c r="B43" s="38" t="str">
        <f t="shared" si="1"/>
        <v>--</v>
      </c>
      <c r="C43" s="26"/>
      <c r="D43" s="57"/>
      <c r="E43" s="26"/>
      <c r="F43" s="49"/>
      <c r="G43" s="27"/>
      <c r="H43" s="28"/>
      <c r="I43" s="28">
        <f t="shared" si="2"/>
        <v>0</v>
      </c>
      <c r="J43" s="28">
        <f t="shared" si="3"/>
        <v>0</v>
      </c>
    </row>
    <row r="44" spans="1:10" x14ac:dyDescent="0.2">
      <c r="A44" s="18">
        <v>43</v>
      </c>
      <c r="B44" s="38" t="str">
        <f t="shared" si="1"/>
        <v>--</v>
      </c>
      <c r="C44" s="26"/>
      <c r="D44" s="57"/>
      <c r="E44" s="26"/>
      <c r="F44" s="49"/>
      <c r="G44" s="27"/>
      <c r="H44" s="28"/>
      <c r="I44" s="28">
        <f t="shared" si="2"/>
        <v>0</v>
      </c>
      <c r="J44" s="28">
        <f t="shared" si="3"/>
        <v>0</v>
      </c>
    </row>
    <row r="45" spans="1:10" x14ac:dyDescent="0.2">
      <c r="A45" s="18">
        <v>44</v>
      </c>
      <c r="B45" s="38" t="str">
        <f t="shared" si="1"/>
        <v>--</v>
      </c>
      <c r="C45" s="26"/>
      <c r="D45" s="57"/>
      <c r="E45" s="26"/>
      <c r="F45" s="49"/>
      <c r="G45" s="27"/>
      <c r="H45" s="28"/>
      <c r="I45" s="28">
        <f t="shared" si="2"/>
        <v>0</v>
      </c>
      <c r="J45" s="28">
        <f t="shared" si="3"/>
        <v>0</v>
      </c>
    </row>
    <row r="46" spans="1:10" x14ac:dyDescent="0.2">
      <c r="A46" s="18">
        <v>45</v>
      </c>
      <c r="B46" s="38" t="str">
        <f t="shared" si="1"/>
        <v>--</v>
      </c>
      <c r="C46" s="26"/>
      <c r="D46" s="57"/>
      <c r="E46" s="26"/>
      <c r="F46" s="49"/>
      <c r="G46" s="27"/>
      <c r="H46" s="28"/>
      <c r="I46" s="28">
        <f t="shared" si="2"/>
        <v>0</v>
      </c>
      <c r="J46" s="28">
        <f t="shared" si="3"/>
        <v>0</v>
      </c>
    </row>
    <row r="47" spans="1:10" x14ac:dyDescent="0.2">
      <c r="A47" s="18">
        <v>46</v>
      </c>
      <c r="B47" s="38" t="str">
        <f t="shared" si="1"/>
        <v>--</v>
      </c>
      <c r="C47" s="26"/>
      <c r="D47" s="57"/>
      <c r="E47" s="26"/>
      <c r="F47" s="49"/>
      <c r="G47" s="27"/>
      <c r="H47" s="28"/>
      <c r="I47" s="28">
        <f t="shared" si="2"/>
        <v>0</v>
      </c>
      <c r="J47" s="28">
        <f t="shared" si="3"/>
        <v>0</v>
      </c>
    </row>
    <row r="48" spans="1:10" x14ac:dyDescent="0.2">
      <c r="A48" s="18">
        <v>47</v>
      </c>
      <c r="B48" s="38" t="str">
        <f t="shared" si="1"/>
        <v>--</v>
      </c>
      <c r="C48" s="26"/>
      <c r="D48" s="57"/>
      <c r="E48" s="26"/>
      <c r="F48" s="49"/>
      <c r="G48" s="27"/>
      <c r="H48" s="28"/>
      <c r="I48" s="28">
        <f t="shared" si="2"/>
        <v>0</v>
      </c>
      <c r="J48" s="28">
        <f t="shared" si="3"/>
        <v>0</v>
      </c>
    </row>
    <row r="49" spans="1:10" x14ac:dyDescent="0.2">
      <c r="A49" s="18">
        <v>48</v>
      </c>
      <c r="B49" s="38" t="str">
        <f t="shared" si="1"/>
        <v>--</v>
      </c>
      <c r="C49" s="26"/>
      <c r="D49" s="57"/>
      <c r="E49" s="26"/>
      <c r="F49" s="49"/>
      <c r="G49" s="27"/>
      <c r="H49" s="28"/>
      <c r="I49" s="28">
        <f t="shared" si="2"/>
        <v>0</v>
      </c>
      <c r="J49" s="28">
        <f t="shared" si="3"/>
        <v>0</v>
      </c>
    </row>
    <row r="50" spans="1:10" x14ac:dyDescent="0.2">
      <c r="A50" s="18">
        <v>49</v>
      </c>
      <c r="B50" s="38" t="str">
        <f t="shared" si="1"/>
        <v>--</v>
      </c>
      <c r="C50" s="26"/>
      <c r="D50" s="57"/>
      <c r="E50" s="26"/>
      <c r="F50" s="49"/>
      <c r="G50" s="27"/>
      <c r="H50" s="28"/>
      <c r="I50" s="28">
        <f t="shared" si="2"/>
        <v>0</v>
      </c>
      <c r="J50" s="28">
        <f t="shared" si="3"/>
        <v>0</v>
      </c>
    </row>
    <row r="51" spans="1:10" x14ac:dyDescent="0.2">
      <c r="A51" s="18">
        <v>50</v>
      </c>
      <c r="B51" s="38" t="str">
        <f t="shared" si="1"/>
        <v>--</v>
      </c>
      <c r="C51" s="26"/>
      <c r="D51" s="57"/>
      <c r="E51" s="26"/>
      <c r="F51" s="49"/>
      <c r="G51" s="27"/>
      <c r="H51" s="28"/>
      <c r="I51" s="28">
        <f t="shared" si="2"/>
        <v>0</v>
      </c>
      <c r="J51" s="28">
        <f t="shared" si="3"/>
        <v>0</v>
      </c>
    </row>
  </sheetData>
  <dataValidations count="1">
    <dataValidation type="list" allowBlank="1" showInputMessage="1" showErrorMessage="1" sqref="C1:C1048576" xr:uid="{A2FD0755-95F2-42B7-969D-FAC77D4ABDBA}">
      <formula1>Holzarten</formula1>
    </dataValidation>
  </dataValidations>
  <pageMargins left="0.7" right="0.7" top="0.78740157499999996" bottom="0.78740157499999996" header="0.3" footer="0.3"/>
  <pageSetup paperSize="9" orientation="portrait" horizontalDpi="12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84CA-3A9E-714F-A52A-43F5348ABC6E}">
  <sheetPr codeName="Tabelle4"/>
  <dimension ref="A1:B6"/>
  <sheetViews>
    <sheetView zoomScale="150" zoomScaleNormal="150" workbookViewId="0">
      <selection activeCell="B1" sqref="B1:B1048576"/>
    </sheetView>
  </sheetViews>
  <sheetFormatPr baseColWidth="10" defaultRowHeight="15" x14ac:dyDescent="0.2"/>
  <cols>
    <col min="1" max="1" width="20.33203125" bestFit="1" customWidth="1"/>
    <col min="2" max="2" width="16.6640625" style="39" bestFit="1" customWidth="1"/>
    <col min="3" max="3" width="14.5" bestFit="1" customWidth="1"/>
    <col min="4" max="8" width="12.1640625" bestFit="1" customWidth="1"/>
    <col min="9" max="9" width="11.1640625" bestFit="1" customWidth="1"/>
    <col min="10" max="12" width="12.1640625" bestFit="1" customWidth="1"/>
    <col min="13" max="13" width="2.1640625" bestFit="1" customWidth="1"/>
    <col min="14" max="14" width="14.5" bestFit="1" customWidth="1"/>
    <col min="15" max="24" width="4.1640625" bestFit="1" customWidth="1"/>
    <col min="25" max="25" width="3.1640625" bestFit="1" customWidth="1"/>
    <col min="26" max="26" width="23" bestFit="1" customWidth="1"/>
    <col min="27" max="27" width="21.5" bestFit="1" customWidth="1"/>
    <col min="28" max="28" width="6.83203125" bestFit="1" customWidth="1"/>
    <col min="29" max="30" width="4.1640625" bestFit="1" customWidth="1"/>
    <col min="31" max="31" width="12" bestFit="1" customWidth="1"/>
    <col min="32" max="32" width="6.83203125" bestFit="1" customWidth="1"/>
    <col min="33" max="34" width="4.1640625" bestFit="1" customWidth="1"/>
    <col min="35" max="35" width="12" bestFit="1" customWidth="1"/>
    <col min="36" max="36" width="6.83203125" bestFit="1" customWidth="1"/>
    <col min="37" max="37" width="12" bestFit="1" customWidth="1"/>
    <col min="38" max="38" width="6.83203125" bestFit="1" customWidth="1"/>
    <col min="39" max="39" width="4.1640625" bestFit="1" customWidth="1"/>
    <col min="40" max="40" width="12" bestFit="1" customWidth="1"/>
    <col min="41" max="41" width="6.83203125" bestFit="1" customWidth="1"/>
    <col min="42" max="42" width="4.1640625" bestFit="1" customWidth="1"/>
    <col min="43" max="43" width="12" bestFit="1" customWidth="1"/>
    <col min="44" max="44" width="3.1640625" bestFit="1" customWidth="1"/>
    <col min="45" max="45" width="8" bestFit="1" customWidth="1"/>
    <col min="46" max="46" width="23" bestFit="1" customWidth="1"/>
    <col min="47" max="47" width="21.5" bestFit="1" customWidth="1"/>
  </cols>
  <sheetData>
    <row r="1" spans="1:2" x14ac:dyDescent="0.2">
      <c r="A1" s="51" t="s">
        <v>46</v>
      </c>
      <c r="B1" s="39" t="s">
        <v>48</v>
      </c>
    </row>
    <row r="2" spans="1:2" x14ac:dyDescent="0.2">
      <c r="A2" s="52" t="s">
        <v>3</v>
      </c>
      <c r="B2" s="39">
        <v>823.14816904151405</v>
      </c>
    </row>
    <row r="3" spans="1:2" x14ac:dyDescent="0.2">
      <c r="A3" s="52" t="s">
        <v>53</v>
      </c>
      <c r="B3" s="39">
        <v>90.523484348716167</v>
      </c>
    </row>
    <row r="4" spans="1:2" x14ac:dyDescent="0.2">
      <c r="A4" s="52" t="s">
        <v>47</v>
      </c>
      <c r="B4" s="39">
        <v>0</v>
      </c>
    </row>
    <row r="5" spans="1:2" x14ac:dyDescent="0.2">
      <c r="A5" s="52" t="s">
        <v>54</v>
      </c>
      <c r="B5" s="39">
        <v>27.265505649387382</v>
      </c>
    </row>
    <row r="6" spans="1:2" x14ac:dyDescent="0.2">
      <c r="A6" s="52" t="s">
        <v>45</v>
      </c>
      <c r="B6" s="39">
        <v>940.93715903961754</v>
      </c>
    </row>
  </sheetData>
  <sheetProtection pivotTables="0"/>
  <pageMargins left="0.7" right="0.7" top="0.78740157499999996" bottom="0.78740157499999996" header="0.3" footer="0.3"/>
  <pageSetup paperSize="9" orientation="portrait" horizontalDpi="120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ulateInvoice">
                <anchor moveWithCells="1" sizeWithCells="1">
                  <from>
                    <xdr:col>3</xdr:col>
                    <xdr:colOff>177800</xdr:colOff>
                    <xdr:row>1</xdr:row>
                    <xdr:rowOff>139700</xdr:rowOff>
                  </from>
                  <to>
                    <xdr:col>4</xdr:col>
                    <xdr:colOff>635000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4852-A728-8441-9214-7D9252C86C61}">
  <sheetPr codeName="Tabelle3"/>
  <dimension ref="A1:F32"/>
  <sheetViews>
    <sheetView workbookViewId="0">
      <selection activeCell="E26" sqref="E26"/>
    </sheetView>
  </sheetViews>
  <sheetFormatPr baseColWidth="10" defaultRowHeight="15" x14ac:dyDescent="0.2"/>
  <cols>
    <col min="1" max="1" width="9.83203125" customWidth="1"/>
    <col min="4" max="6" width="10.83203125" style="2"/>
  </cols>
  <sheetData>
    <row r="1" spans="1:6" x14ac:dyDescent="0.2">
      <c r="A1" t="s">
        <v>7</v>
      </c>
      <c r="C1" s="3" t="s">
        <v>7</v>
      </c>
      <c r="D1" s="4">
        <v>0</v>
      </c>
      <c r="E1" s="4">
        <v>26</v>
      </c>
      <c r="F1" s="4">
        <v>1</v>
      </c>
    </row>
    <row r="2" spans="1:6" x14ac:dyDescent="0.2">
      <c r="A2" t="s">
        <v>8</v>
      </c>
      <c r="C2" s="3"/>
      <c r="D2" s="4">
        <v>27</v>
      </c>
      <c r="E2" s="4">
        <v>50</v>
      </c>
      <c r="F2" s="4">
        <v>2</v>
      </c>
    </row>
    <row r="3" spans="1:6" x14ac:dyDescent="0.2">
      <c r="A3" t="s">
        <v>9</v>
      </c>
      <c r="C3" s="3"/>
      <c r="D3" s="4">
        <v>51</v>
      </c>
      <c r="E3" s="4">
        <v>1000</v>
      </c>
      <c r="F3" s="4">
        <v>3</v>
      </c>
    </row>
    <row r="4" spans="1:6" x14ac:dyDescent="0.2">
      <c r="A4" t="s">
        <v>10</v>
      </c>
      <c r="C4" s="3" t="s">
        <v>8</v>
      </c>
      <c r="D4" s="4">
        <v>0</v>
      </c>
      <c r="E4" s="4">
        <v>22</v>
      </c>
      <c r="F4" s="4">
        <v>1</v>
      </c>
    </row>
    <row r="5" spans="1:6" x14ac:dyDescent="0.2">
      <c r="A5" t="s">
        <v>11</v>
      </c>
      <c r="C5" s="3"/>
      <c r="D5" s="4">
        <v>23</v>
      </c>
      <c r="E5" s="4">
        <v>38</v>
      </c>
      <c r="F5" s="4">
        <v>2</v>
      </c>
    </row>
    <row r="6" spans="1:6" x14ac:dyDescent="0.2">
      <c r="A6" t="s">
        <v>12</v>
      </c>
      <c r="C6" s="3"/>
      <c r="D6" s="4">
        <v>39</v>
      </c>
      <c r="E6" s="4">
        <v>55</v>
      </c>
      <c r="F6" s="4">
        <v>3</v>
      </c>
    </row>
    <row r="7" spans="1:6" x14ac:dyDescent="0.2">
      <c r="A7" t="s">
        <v>13</v>
      </c>
      <c r="C7" s="3"/>
      <c r="D7" s="4">
        <v>56</v>
      </c>
      <c r="E7" s="4">
        <v>1000</v>
      </c>
      <c r="F7" s="4">
        <v>4</v>
      </c>
    </row>
    <row r="8" spans="1:6" x14ac:dyDescent="0.2">
      <c r="A8" t="s">
        <v>14</v>
      </c>
      <c r="C8" s="3" t="s">
        <v>9</v>
      </c>
      <c r="D8" s="4">
        <v>0</v>
      </c>
      <c r="E8" s="4">
        <v>20</v>
      </c>
      <c r="F8" s="4">
        <v>1</v>
      </c>
    </row>
    <row r="9" spans="1:6" x14ac:dyDescent="0.2">
      <c r="C9" s="3"/>
      <c r="D9" s="4">
        <v>21</v>
      </c>
      <c r="E9" s="4">
        <v>37</v>
      </c>
      <c r="F9" s="4">
        <v>2</v>
      </c>
    </row>
    <row r="10" spans="1:6" x14ac:dyDescent="0.2">
      <c r="C10" s="3"/>
      <c r="D10" s="4">
        <v>38</v>
      </c>
      <c r="E10" s="4">
        <v>53</v>
      </c>
      <c r="F10" s="4">
        <v>3</v>
      </c>
    </row>
    <row r="11" spans="1:6" x14ac:dyDescent="0.2">
      <c r="C11" s="3"/>
      <c r="D11" s="4">
        <v>54</v>
      </c>
      <c r="E11" s="4">
        <v>70</v>
      </c>
      <c r="F11" s="4">
        <v>4</v>
      </c>
    </row>
    <row r="12" spans="1:6" x14ac:dyDescent="0.2">
      <c r="C12" s="3"/>
      <c r="D12" s="4">
        <v>71</v>
      </c>
      <c r="E12" s="4">
        <v>1000</v>
      </c>
      <c r="F12" s="4">
        <v>5</v>
      </c>
    </row>
    <row r="13" spans="1:6" x14ac:dyDescent="0.2">
      <c r="C13" s="3" t="s">
        <v>10</v>
      </c>
      <c r="D13" s="4">
        <v>0</v>
      </c>
      <c r="E13" s="4">
        <v>41</v>
      </c>
      <c r="F13" s="4">
        <v>1</v>
      </c>
    </row>
    <row r="14" spans="1:6" x14ac:dyDescent="0.2">
      <c r="C14" s="3"/>
      <c r="D14" s="4">
        <v>42</v>
      </c>
      <c r="E14" s="4">
        <v>1000</v>
      </c>
      <c r="F14" s="4">
        <v>2</v>
      </c>
    </row>
    <row r="15" spans="1:6" x14ac:dyDescent="0.2">
      <c r="C15" s="3" t="s">
        <v>11</v>
      </c>
      <c r="D15" s="4">
        <v>0</v>
      </c>
      <c r="E15" s="4">
        <v>18</v>
      </c>
      <c r="F15" s="4">
        <v>1</v>
      </c>
    </row>
    <row r="16" spans="1:6" x14ac:dyDescent="0.2">
      <c r="C16" s="3"/>
      <c r="D16" s="4">
        <v>19</v>
      </c>
      <c r="E16" s="4">
        <v>29</v>
      </c>
      <c r="F16" s="4">
        <v>2</v>
      </c>
    </row>
    <row r="17" spans="3:6" x14ac:dyDescent="0.2">
      <c r="C17" s="3"/>
      <c r="D17" s="4">
        <v>30</v>
      </c>
      <c r="E17" s="4">
        <v>44</v>
      </c>
      <c r="F17" s="4">
        <v>3</v>
      </c>
    </row>
    <row r="18" spans="3:6" x14ac:dyDescent="0.2">
      <c r="C18" s="3"/>
      <c r="D18" s="4">
        <v>45</v>
      </c>
      <c r="E18" s="4">
        <v>1000</v>
      </c>
      <c r="F18" s="4">
        <v>4</v>
      </c>
    </row>
    <row r="19" spans="3:6" x14ac:dyDescent="0.2">
      <c r="C19" s="3" t="s">
        <v>12</v>
      </c>
      <c r="D19" s="4">
        <v>0</v>
      </c>
      <c r="E19" s="4">
        <v>20</v>
      </c>
      <c r="F19" s="4">
        <v>1</v>
      </c>
    </row>
    <row r="20" spans="3:6" x14ac:dyDescent="0.2">
      <c r="C20" s="3"/>
      <c r="D20" s="4">
        <v>21</v>
      </c>
      <c r="E20" s="4">
        <v>36</v>
      </c>
      <c r="F20" s="4">
        <v>2</v>
      </c>
    </row>
    <row r="21" spans="3:6" x14ac:dyDescent="0.2">
      <c r="C21" s="3"/>
      <c r="D21" s="4">
        <v>37</v>
      </c>
      <c r="E21" s="4">
        <v>62</v>
      </c>
      <c r="F21" s="4">
        <v>3</v>
      </c>
    </row>
    <row r="22" spans="3:6" x14ac:dyDescent="0.2">
      <c r="C22" s="3"/>
      <c r="D22" s="4">
        <v>63</v>
      </c>
      <c r="E22" s="4">
        <v>1000</v>
      </c>
      <c r="F22" s="4">
        <v>4</v>
      </c>
    </row>
    <row r="23" spans="3:6" x14ac:dyDescent="0.2">
      <c r="C23" s="3" t="s">
        <v>13</v>
      </c>
      <c r="D23" s="4">
        <v>0</v>
      </c>
      <c r="E23" s="4">
        <v>20</v>
      </c>
      <c r="F23" s="4">
        <v>1</v>
      </c>
    </row>
    <row r="24" spans="3:6" x14ac:dyDescent="0.2">
      <c r="C24" s="3"/>
      <c r="D24" s="4">
        <v>21</v>
      </c>
      <c r="E24" s="4">
        <v>31</v>
      </c>
      <c r="F24" s="4">
        <v>2</v>
      </c>
    </row>
    <row r="25" spans="3:6" x14ac:dyDescent="0.2">
      <c r="C25" s="3"/>
      <c r="D25" s="4">
        <v>32</v>
      </c>
      <c r="E25" s="4">
        <v>42</v>
      </c>
      <c r="F25" s="4">
        <v>3</v>
      </c>
    </row>
    <row r="26" spans="3:6" x14ac:dyDescent="0.2">
      <c r="C26" s="3"/>
      <c r="D26" s="4">
        <v>43</v>
      </c>
      <c r="E26" s="4">
        <v>53</v>
      </c>
      <c r="F26" s="4">
        <v>4</v>
      </c>
    </row>
    <row r="27" spans="3:6" x14ac:dyDescent="0.2">
      <c r="C27" s="3"/>
      <c r="D27" s="4">
        <v>54</v>
      </c>
      <c r="E27" s="4">
        <v>1000</v>
      </c>
      <c r="F27" s="4">
        <v>5</v>
      </c>
    </row>
    <row r="28" spans="3:6" x14ac:dyDescent="0.2">
      <c r="C28" s="3" t="s">
        <v>14</v>
      </c>
      <c r="D28" s="4">
        <v>0</v>
      </c>
      <c r="E28" s="4">
        <v>20</v>
      </c>
      <c r="F28" s="4">
        <v>1</v>
      </c>
    </row>
    <row r="29" spans="3:6" x14ac:dyDescent="0.2">
      <c r="C29" s="3"/>
      <c r="D29" s="4">
        <v>21</v>
      </c>
      <c r="E29" s="4">
        <v>31</v>
      </c>
      <c r="F29" s="4">
        <v>2</v>
      </c>
    </row>
    <row r="30" spans="3:6" x14ac:dyDescent="0.2">
      <c r="C30" s="3"/>
      <c r="D30" s="4">
        <v>32</v>
      </c>
      <c r="E30" s="4">
        <v>42</v>
      </c>
      <c r="F30" s="4">
        <v>3</v>
      </c>
    </row>
    <row r="31" spans="3:6" x14ac:dyDescent="0.2">
      <c r="C31" s="3"/>
      <c r="D31" s="4">
        <v>43</v>
      </c>
      <c r="E31" s="4">
        <v>53</v>
      </c>
      <c r="F31" s="4">
        <v>4</v>
      </c>
    </row>
    <row r="32" spans="3:6" x14ac:dyDescent="0.2">
      <c r="C32" s="3"/>
      <c r="D32" s="4">
        <v>54</v>
      </c>
      <c r="E32" s="4">
        <v>1000</v>
      </c>
      <c r="F32" s="4">
        <v>5</v>
      </c>
    </row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8</vt:i4>
      </vt:variant>
    </vt:vector>
  </HeadingPairs>
  <TitlesOfParts>
    <vt:vector size="13" baseType="lpstr">
      <vt:lpstr>Holzliste</vt:lpstr>
      <vt:lpstr>Sägeliste</vt:lpstr>
      <vt:lpstr>Gutschrift</vt:lpstr>
      <vt:lpstr>Abrechnung</vt:lpstr>
      <vt:lpstr>Rindenabzug</vt:lpstr>
      <vt:lpstr>Buche</vt:lpstr>
      <vt:lpstr>Douglasie</vt:lpstr>
      <vt:lpstr>Eiche</vt:lpstr>
      <vt:lpstr>Fichte</vt:lpstr>
      <vt:lpstr>Holzarten</vt:lpstr>
      <vt:lpstr>Kiefer</vt:lpstr>
      <vt:lpstr>Lärche</vt:lpstr>
      <vt:lpstr>Tanne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Isenmann</dc:creator>
  <cp:lastModifiedBy>Andreas Isenmann</cp:lastModifiedBy>
  <dcterms:created xsi:type="dcterms:W3CDTF">2019-05-10T19:34:37Z</dcterms:created>
  <dcterms:modified xsi:type="dcterms:W3CDTF">2019-08-25T07:27:11Z</dcterms:modified>
</cp:coreProperties>
</file>